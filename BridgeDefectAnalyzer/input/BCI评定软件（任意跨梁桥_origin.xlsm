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defaultThemeVersion="124226"/>
  <bookViews>
    <workbookView xWindow="240" yWindow="105" windowWidth="14805" windowHeight="8010" tabRatio="673" activeTab="2"/>
  </bookViews>
  <sheets>
    <sheet name="扣分-桥面系" sheetId="5" r:id="rId1"/>
    <sheet name="扣分-上部结构" sheetId="6" r:id="rId2"/>
    <sheet name="扣分-下部结构" sheetId="8" r:id="rId3"/>
    <sheet name="上部结构汇总" sheetId="9" r:id="rId4"/>
    <sheet name="下部结构汇总" sheetId="10" r:id="rId5"/>
    <sheet name="汇总" sheetId="4" r:id="rId6"/>
  </sheets>
  <functionGroups builtInGroupCount="18"/>
  <definedNames>
    <definedName name="_xlnm._FilterDatabase" localSheetId="5" hidden="1">汇总!$A$6:$L$20</definedName>
  </definedNames>
  <calcPr calcId="152511"/>
</workbook>
</file>

<file path=xl/calcChain.xml><?xml version="1.0" encoding="utf-8"?>
<calcChain xmlns="http://schemas.openxmlformats.org/spreadsheetml/2006/main">
  <c r="O3" i="10" l="1"/>
  <c r="N3" i="10"/>
  <c r="L20" i="10"/>
  <c r="L19" i="10"/>
  <c r="L18" i="10"/>
  <c r="L17" i="10"/>
  <c r="L16" i="10"/>
  <c r="L15" i="10"/>
  <c r="L14" i="10"/>
  <c r="L13" i="10"/>
  <c r="L12" i="10"/>
  <c r="M12" i="10" s="1"/>
  <c r="L11" i="10"/>
  <c r="L10" i="10"/>
  <c r="L9" i="10"/>
  <c r="L8" i="10"/>
  <c r="M8" i="10" s="1"/>
  <c r="N8" i="9"/>
  <c r="O8" i="9"/>
  <c r="Q3" i="9"/>
  <c r="O3" i="9"/>
  <c r="M3" i="9"/>
  <c r="K8" i="9"/>
  <c r="K7" i="9"/>
  <c r="L7" i="9" s="1"/>
  <c r="K6" i="9"/>
  <c r="K5" i="9"/>
  <c r="E19" i="4"/>
  <c r="E15" i="4"/>
  <c r="E14" i="4"/>
  <c r="E22" i="10"/>
  <c r="E23" i="10"/>
  <c r="E24" i="10"/>
  <c r="E21" i="10"/>
  <c r="E17" i="10"/>
  <c r="E18" i="10"/>
  <c r="E19" i="10"/>
  <c r="E16" i="10"/>
  <c r="M16" i="10" l="1"/>
  <c r="L5" i="9"/>
  <c r="L63" i="8" a="1"/>
  <c r="L65" i="8" a="1"/>
  <c r="L61" i="8" a="1"/>
  <c r="L67" i="8" a="1"/>
  <c r="L59" i="8" a="1"/>
  <c r="K63" i="8" a="1"/>
  <c r="K65" i="8" a="1"/>
  <c r="K59" i="8" a="1"/>
  <c r="K67" i="8" a="1"/>
  <c r="K61" i="8" a="1"/>
  <c r="J63" i="8" a="1"/>
  <c r="J65" i="8" a="1"/>
  <c r="J67" i="8" a="1"/>
  <c r="J59" i="8" a="1"/>
  <c r="J61" i="8" a="1"/>
  <c r="K42" i="6" a="1"/>
  <c r="K44" i="6" a="1"/>
  <c r="J42" i="6" a="1"/>
  <c r="J44" i="6" a="1"/>
  <c r="L60" i="8" l="1"/>
  <c r="L59" i="8"/>
  <c r="L68" i="8"/>
  <c r="L67" i="8"/>
  <c r="L62" i="8"/>
  <c r="L61" i="8"/>
  <c r="L65" i="8"/>
  <c r="L66" i="8"/>
  <c r="L63" i="8"/>
  <c r="L64" i="8"/>
  <c r="K62" i="8"/>
  <c r="K61" i="8"/>
  <c r="K68" i="8"/>
  <c r="K67" i="8"/>
  <c r="K60" i="8"/>
  <c r="K59" i="8"/>
  <c r="K65" i="8"/>
  <c r="K66" i="8"/>
  <c r="K64" i="8"/>
  <c r="K63" i="8"/>
  <c r="J62" i="8"/>
  <c r="J61" i="8"/>
  <c r="J60" i="8"/>
  <c r="J59" i="8"/>
  <c r="J68" i="8"/>
  <c r="J67" i="8"/>
  <c r="J65" i="8"/>
  <c r="J66" i="8"/>
  <c r="J64" i="8"/>
  <c r="J63" i="8"/>
  <c r="K45" i="6"/>
  <c r="K44" i="6"/>
  <c r="K42" i="6"/>
  <c r="K43" i="6"/>
  <c r="J45" i="6"/>
  <c r="J44" i="6"/>
  <c r="J42" i="6"/>
  <c r="J43" i="6"/>
  <c r="F27" i="4" l="1"/>
  <c r="F25" i="4"/>
  <c r="F26" i="4"/>
  <c r="F28" i="4"/>
  <c r="F29" i="4"/>
  <c r="F24" i="4"/>
  <c r="H15" i="4"/>
  <c r="H17" i="4"/>
  <c r="E29" i="9" l="1"/>
  <c r="K4" i="9"/>
  <c r="K3" i="9"/>
  <c r="L3" i="9" l="1"/>
  <c r="G1" i="8"/>
  <c r="L7" i="10" l="1"/>
  <c r="E27" i="4"/>
  <c r="G27" i="4" s="1"/>
  <c r="D27" i="4"/>
  <c r="E25" i="4"/>
  <c r="G25" i="4" s="1"/>
  <c r="D25" i="4"/>
  <c r="E74" i="5" l="1"/>
  <c r="H10" i="4" l="1"/>
  <c r="L4" i="10"/>
  <c r="L5" i="10"/>
  <c r="L6" i="10"/>
  <c r="P3" i="9" l="1"/>
  <c r="I10" i="4"/>
  <c r="E20" i="4"/>
  <c r="I61" i="8" a="1"/>
  <c r="I62" i="8" l="1"/>
  <c r="I61" i="8"/>
  <c r="L3" i="10" l="1"/>
  <c r="M3" i="10" s="1"/>
  <c r="O12" i="10" l="1"/>
  <c r="E86" i="5"/>
  <c r="E85" i="5"/>
  <c r="E84" i="5"/>
  <c r="E83" i="5"/>
  <c r="E82" i="5"/>
  <c r="E81" i="5"/>
  <c r="E80" i="5"/>
  <c r="E78" i="5"/>
  <c r="P3" i="10" l="1"/>
  <c r="I11" i="4" s="1"/>
  <c r="O11" i="10"/>
  <c r="P12" i="10" s="1"/>
  <c r="H11" i="4"/>
  <c r="J9" i="4" s="1"/>
  <c r="E64" i="5"/>
  <c r="E63" i="5"/>
  <c r="R3" i="10" l="1"/>
  <c r="Q3" i="10"/>
  <c r="E99" i="5"/>
  <c r="E98" i="5"/>
  <c r="E97" i="5"/>
  <c r="E105" i="5"/>
  <c r="E104" i="5"/>
  <c r="E103" i="5"/>
  <c r="E106" i="5" s="1"/>
  <c r="E93" i="5"/>
  <c r="E92" i="5"/>
  <c r="E91" i="5"/>
  <c r="E90" i="5"/>
  <c r="E79" i="5"/>
  <c r="E73" i="5"/>
  <c r="E69" i="5"/>
  <c r="E68" i="5"/>
  <c r="E67" i="5"/>
  <c r="E66" i="5"/>
  <c r="E65" i="5"/>
  <c r="E87" i="5" l="1"/>
  <c r="D26" i="4" s="1"/>
  <c r="E94" i="5"/>
  <c r="D29" i="4"/>
  <c r="E100" i="5"/>
  <c r="D28" i="4" s="1"/>
  <c r="E75" i="5"/>
  <c r="E70" i="5"/>
  <c r="F67" i="5" l="1"/>
  <c r="G67" i="5" s="1"/>
  <c r="H67" i="5" s="1"/>
  <c r="D24" i="4"/>
  <c r="F81" i="5"/>
  <c r="G81" i="5" s="1"/>
  <c r="H81" i="5" s="1"/>
  <c r="F85" i="5"/>
  <c r="G85" i="5" s="1"/>
  <c r="H85" i="5" s="1"/>
  <c r="F78" i="5"/>
  <c r="F82" i="5"/>
  <c r="G82" i="5" s="1"/>
  <c r="H82" i="5" s="1"/>
  <c r="F86" i="5"/>
  <c r="G86" i="5" s="1"/>
  <c r="H86" i="5" s="1"/>
  <c r="F83" i="5"/>
  <c r="G83" i="5" s="1"/>
  <c r="H83" i="5" s="1"/>
  <c r="F79" i="5"/>
  <c r="G79" i="5" s="1"/>
  <c r="H79" i="5" s="1"/>
  <c r="F84" i="5"/>
  <c r="G84" i="5" s="1"/>
  <c r="H84" i="5" s="1"/>
  <c r="F80" i="5"/>
  <c r="G80" i="5" s="1"/>
  <c r="H80" i="5" s="1"/>
  <c r="F74" i="5"/>
  <c r="G74" i="5" s="1"/>
  <c r="H74" i="5" s="1"/>
  <c r="F97" i="5"/>
  <c r="G97" i="5" s="1"/>
  <c r="H97" i="5" s="1"/>
  <c r="F99" i="5"/>
  <c r="G99" i="5" s="1"/>
  <c r="H99" i="5" s="1"/>
  <c r="F98" i="5"/>
  <c r="G98" i="5" s="1"/>
  <c r="H98" i="5" s="1"/>
  <c r="F90" i="5"/>
  <c r="G90" i="5" s="1"/>
  <c r="H90" i="5" s="1"/>
  <c r="F91" i="5"/>
  <c r="G91" i="5" s="1"/>
  <c r="H91" i="5" s="1"/>
  <c r="F93" i="5"/>
  <c r="G93" i="5" s="1"/>
  <c r="H93" i="5" s="1"/>
  <c r="F92" i="5"/>
  <c r="G92" i="5" s="1"/>
  <c r="H92" i="5" s="1"/>
  <c r="F65" i="5"/>
  <c r="G65" i="5" s="1"/>
  <c r="H65" i="5" s="1"/>
  <c r="F69" i="5"/>
  <c r="G69" i="5" s="1"/>
  <c r="H69" i="5" s="1"/>
  <c r="F64" i="5"/>
  <c r="G64" i="5" s="1"/>
  <c r="H64" i="5" s="1"/>
  <c r="F68" i="5"/>
  <c r="G68" i="5" s="1"/>
  <c r="H68" i="5" s="1"/>
  <c r="F66" i="5"/>
  <c r="G66" i="5" s="1"/>
  <c r="H66" i="5" s="1"/>
  <c r="F63" i="5"/>
  <c r="G63" i="5" s="1"/>
  <c r="H63" i="5" s="1"/>
  <c r="F103" i="5"/>
  <c r="G103" i="5" s="1"/>
  <c r="H103" i="5" s="1"/>
  <c r="F105" i="5"/>
  <c r="G105" i="5" s="1"/>
  <c r="H105" i="5" s="1"/>
  <c r="F104" i="5"/>
  <c r="G104" i="5" s="1"/>
  <c r="H104" i="5" s="1"/>
  <c r="G78" i="5"/>
  <c r="H78" i="5" s="1"/>
  <c r="F73" i="5"/>
  <c r="G73" i="5" s="1"/>
  <c r="H73" i="5" s="1"/>
  <c r="I67" i="8" a="1"/>
  <c r="I63" i="8" a="1"/>
  <c r="I44" i="6" a="1"/>
  <c r="I65" i="8" a="1"/>
  <c r="I42" i="6" a="1"/>
  <c r="I59" i="8" a="1"/>
  <c r="I59" i="8" l="1"/>
  <c r="I60" i="8"/>
  <c r="I68" i="8"/>
  <c r="I67" i="8"/>
  <c r="I65" i="8"/>
  <c r="I66" i="8"/>
  <c r="I42" i="6"/>
  <c r="I43" i="6"/>
  <c r="I64" i="8"/>
  <c r="I63" i="8"/>
  <c r="I45" i="6"/>
  <c r="I44" i="6"/>
  <c r="H106" i="5"/>
  <c r="H94" i="5"/>
  <c r="I94" i="5"/>
  <c r="G17" i="4" s="1"/>
  <c r="H75" i="5"/>
  <c r="I75" i="5" s="1"/>
  <c r="G15" i="4" s="1"/>
  <c r="H100" i="5"/>
  <c r="H87" i="5"/>
  <c r="H70" i="5"/>
  <c r="I87" i="5" l="1"/>
  <c r="G16" i="4" s="1"/>
  <c r="H16" i="4" s="1"/>
  <c r="E26" i="4"/>
  <c r="G26" i="4" s="1"/>
  <c r="I70" i="5"/>
  <c r="G14" i="4" s="1"/>
  <c r="H14" i="4" s="1"/>
  <c r="E24" i="4"/>
  <c r="G24" i="4" s="1"/>
  <c r="I106" i="5"/>
  <c r="G19" i="4" s="1"/>
  <c r="H19" i="4" s="1"/>
  <c r="E29" i="4"/>
  <c r="G29" i="4" s="1"/>
  <c r="I100" i="5"/>
  <c r="G18" i="4" s="1"/>
  <c r="H18" i="4" s="1"/>
  <c r="E28" i="4"/>
  <c r="G28" i="4" s="1"/>
  <c r="J14" i="4" l="1"/>
  <c r="I24" i="4" s="1"/>
  <c r="H20" i="4"/>
  <c r="H9" i="4" s="1"/>
  <c r="K11" i="4" l="1"/>
  <c r="L11" i="4"/>
  <c r="I9" i="4"/>
  <c r="K14" i="4"/>
  <c r="L14" i="4"/>
  <c r="J20" i="4"/>
  <c r="H24" i="4"/>
  <c r="I20" i="4"/>
</calcChain>
</file>

<file path=xl/comments1.xml><?xml version="1.0" encoding="utf-8"?>
<comments xmlns="http://schemas.openxmlformats.org/spreadsheetml/2006/main">
  <authors>
    <author>作者</author>
  </authors>
  <commentList>
    <comment ref="E26" authorId="0" shapeId="0">
      <text>
        <r>
          <rPr>
            <b/>
            <sz val="12"/>
            <color indexed="81"/>
            <rFont val="宋体"/>
            <family val="3"/>
            <charset val="134"/>
          </rPr>
          <t>当缺某些要素时，手动处理权值重新分配结果</t>
        </r>
      </text>
    </comment>
  </commentList>
</comments>
</file>

<file path=xl/comments2.xml><?xml version="1.0" encoding="utf-8"?>
<comments xmlns="http://schemas.openxmlformats.org/spreadsheetml/2006/main">
  <authors>
    <author>作者</author>
  </authors>
  <commentList>
    <comment ref="E15" authorId="0" shapeId="0">
      <text>
        <r>
          <rPr>
            <b/>
            <sz val="12"/>
            <color indexed="81"/>
            <rFont val="宋体"/>
            <family val="3"/>
            <charset val="134"/>
          </rPr>
          <t>缺某些要素时，手动处理权值重新分配结果</t>
        </r>
      </text>
    </comment>
  </commentList>
</comments>
</file>

<file path=xl/comments3.xml><?xml version="1.0" encoding="utf-8"?>
<comments xmlns="http://schemas.openxmlformats.org/spreadsheetml/2006/main">
  <authors>
    <author>作者</author>
  </authors>
  <commentList>
    <comment ref="E13" authorId="0" shapeId="0">
      <text>
        <r>
          <rPr>
            <b/>
            <sz val="12"/>
            <color indexed="81"/>
            <rFont val="宋体"/>
            <family val="3"/>
            <charset val="134"/>
          </rPr>
          <t>当缺某些要素时，手动处理权值重新分配结果</t>
        </r>
      </text>
    </comment>
  </commentList>
</comments>
</file>

<file path=xl/sharedStrings.xml><?xml version="1.0" encoding="utf-8"?>
<sst xmlns="http://schemas.openxmlformats.org/spreadsheetml/2006/main" count="901" uniqueCount="457">
  <si>
    <t>桥梁部位</t>
  </si>
  <si>
    <t>上部结构（ωs）</t>
  </si>
  <si>
    <t>下部结构（ωx）</t>
  </si>
  <si>
    <t>序号</t>
    <phoneticPr fontId="1" type="noConversion"/>
  </si>
  <si>
    <t>定义</t>
  </si>
  <si>
    <t>损坏评价</t>
  </si>
  <si>
    <r>
      <t>说</t>
    </r>
    <r>
      <rPr>
        <sz val="10.5"/>
        <color theme="1"/>
        <rFont val="Times New Roman"/>
        <family val="1"/>
      </rPr>
      <t xml:space="preserve">  </t>
    </r>
    <r>
      <rPr>
        <sz val="10.5"/>
        <color theme="1"/>
        <rFont val="宋体"/>
        <family val="3"/>
        <charset val="134"/>
      </rPr>
      <t>明</t>
    </r>
  </si>
  <si>
    <t>桥面产生交错裂缝，把桥面分割成网状的碎块</t>
  </si>
  <si>
    <t>程度</t>
  </si>
  <si>
    <t>&lt;3%</t>
  </si>
  <si>
    <r>
      <t>3%</t>
    </r>
    <r>
      <rPr>
        <sz val="10.5"/>
        <color theme="1"/>
        <rFont val="宋体"/>
        <family val="3"/>
        <charset val="134"/>
      </rPr>
      <t>～10%</t>
    </r>
  </si>
  <si>
    <t>&gt;10%</t>
  </si>
  <si>
    <t>网裂总面积占整个桥面面积的百分比</t>
  </si>
  <si>
    <t>扣分值</t>
  </si>
  <si>
    <t>桥表面有规则的纵向起伏或局部拥起及沿轮迹处的路表凹陷</t>
  </si>
  <si>
    <r>
      <t>3%</t>
    </r>
    <r>
      <rPr>
        <sz val="10.5"/>
        <color theme="1"/>
        <rFont val="宋体"/>
        <family val="3"/>
        <charset val="134"/>
      </rPr>
      <t>～10</t>
    </r>
    <r>
      <rPr>
        <sz val="10.5"/>
        <color theme="1"/>
        <rFont val="Times New Roman"/>
        <family val="1"/>
      </rPr>
      <t>%</t>
    </r>
  </si>
  <si>
    <t>出现波浪及车辙的总面积占整个桥面面积的百分比</t>
  </si>
  <si>
    <t>坑槽</t>
  </si>
  <si>
    <r>
      <t>桥面材料散失后形成凹坑</t>
    </r>
    <r>
      <rPr>
        <sz val="10.5"/>
        <color theme="1"/>
        <rFont val="Times New Roman"/>
        <family val="1"/>
      </rPr>
      <t>,</t>
    </r>
    <r>
      <rPr>
        <sz val="10.5"/>
        <color theme="1"/>
        <rFont val="宋体"/>
        <family val="3"/>
        <charset val="134"/>
      </rPr>
      <t>但没有贯穿桥面</t>
    </r>
  </si>
  <si>
    <r>
      <t>3%</t>
    </r>
    <r>
      <rPr>
        <sz val="10.5"/>
        <color theme="1"/>
        <rFont val="宋体"/>
        <family val="3"/>
        <charset val="134"/>
      </rPr>
      <t>～5</t>
    </r>
    <r>
      <rPr>
        <sz val="10.5"/>
        <color theme="1"/>
        <rFont val="Times New Roman"/>
        <family val="1"/>
      </rPr>
      <t>%</t>
    </r>
  </si>
  <si>
    <t>&gt;5%</t>
  </si>
  <si>
    <t>坑槽总面积占整个桥面面积的百分比</t>
  </si>
  <si>
    <r>
      <t>桥面出现成片裂缝</t>
    </r>
    <r>
      <rPr>
        <sz val="10.5"/>
        <color theme="1"/>
        <rFont val="Times New Roman"/>
        <family val="1"/>
      </rPr>
      <t>,</t>
    </r>
    <r>
      <rPr>
        <sz val="10.5"/>
        <color theme="1"/>
        <rFont val="宋体"/>
        <family val="3"/>
        <charset val="134"/>
      </rPr>
      <t>缝间路面已裂成碎块</t>
    </r>
  </si>
  <si>
    <t>碎裂或破碎的总面积占整个桥面面积的面分比</t>
  </si>
  <si>
    <r>
      <t>1</t>
    </r>
    <r>
      <rPr>
        <sz val="10.5"/>
        <color theme="1"/>
        <rFont val="宋体"/>
        <family val="3"/>
        <charset val="134"/>
      </rPr>
      <t>个</t>
    </r>
  </si>
  <si>
    <r>
      <t>2</t>
    </r>
    <r>
      <rPr>
        <sz val="10.5"/>
        <color theme="1"/>
        <rFont val="宋体"/>
        <family val="3"/>
        <charset val="134"/>
      </rPr>
      <t>个</t>
    </r>
  </si>
  <si>
    <r>
      <t>3</t>
    </r>
    <r>
      <rPr>
        <sz val="10.5"/>
        <color theme="1"/>
        <rFont val="宋体"/>
        <family val="3"/>
        <charset val="134"/>
      </rPr>
      <t>个</t>
    </r>
  </si>
  <si>
    <t>洞穴数量</t>
  </si>
  <si>
    <t>桥面贯通横缝</t>
  </si>
  <si>
    <r>
      <t>与桥面道路中线大致垂直并且在横向可能贯通整个桥面的裂缝</t>
    </r>
    <r>
      <rPr>
        <sz val="10.5"/>
        <color theme="1"/>
        <rFont val="Times New Roman"/>
        <family val="1"/>
      </rPr>
      <t>,</t>
    </r>
    <r>
      <rPr>
        <sz val="10.5"/>
        <color theme="1"/>
        <rFont val="宋体"/>
        <family val="3"/>
        <charset val="134"/>
      </rPr>
      <t>有时伴有少量支缝</t>
    </r>
  </si>
  <si>
    <t>无</t>
  </si>
  <si>
    <t>半贯通</t>
  </si>
  <si>
    <t>贯通</t>
  </si>
  <si>
    <t>裂缝在垂直于桥面道路中线方向的贯通程度</t>
  </si>
  <si>
    <t>桥面贯通纵缝</t>
  </si>
  <si>
    <r>
      <t>与桥面道路中线大致平行并且在纵向可能贯通整个桥面的裂缝</t>
    </r>
    <r>
      <rPr>
        <sz val="10.5"/>
        <color theme="1"/>
        <rFont val="Times New Roman"/>
        <family val="1"/>
      </rPr>
      <t>,</t>
    </r>
    <r>
      <rPr>
        <sz val="10.5"/>
        <color theme="1"/>
        <rFont val="宋体"/>
        <family val="3"/>
        <charset val="134"/>
      </rPr>
      <t>有时伴有少量支缝</t>
    </r>
  </si>
  <si>
    <t>裂缝在平行于桥面道路中线方向的贯通程度</t>
  </si>
  <si>
    <t>桥头平顺</t>
  </si>
  <si>
    <t>桥头沉降</t>
  </si>
  <si>
    <t>桥梁与道路连接处形成高差</t>
  </si>
  <si>
    <t>轻微</t>
  </si>
  <si>
    <t>明显</t>
  </si>
  <si>
    <r>
      <t>“</t>
    </r>
    <r>
      <rPr>
        <sz val="10.5"/>
        <color theme="1"/>
        <rFont val="宋体"/>
        <family val="3"/>
        <charset val="134"/>
      </rPr>
      <t>无</t>
    </r>
    <r>
      <rPr>
        <sz val="10.5"/>
        <color theme="1"/>
        <rFont val="Times New Roman"/>
        <family val="1"/>
      </rPr>
      <t>”</t>
    </r>
    <r>
      <rPr>
        <sz val="10.5"/>
        <color theme="1"/>
        <rFont val="宋体"/>
        <family val="3"/>
        <charset val="134"/>
      </rPr>
      <t>指桥梁与道路连接平顺</t>
    </r>
    <r>
      <rPr>
        <sz val="10.5"/>
        <color theme="1"/>
        <rFont val="Times New Roman"/>
        <family val="1"/>
      </rPr>
      <t>,</t>
    </r>
    <r>
      <rPr>
        <sz val="10.5"/>
        <color theme="1"/>
        <rFont val="宋体"/>
        <family val="3"/>
        <charset val="134"/>
      </rPr>
      <t>目测不出高差</t>
    </r>
    <r>
      <rPr>
        <sz val="10.5"/>
        <color theme="1"/>
        <rFont val="Times New Roman"/>
        <family val="1"/>
      </rPr>
      <t>: “</t>
    </r>
    <r>
      <rPr>
        <sz val="10.5"/>
        <color theme="1"/>
        <rFont val="宋体"/>
        <family val="3"/>
        <charset val="134"/>
      </rPr>
      <t>轻微</t>
    </r>
    <r>
      <rPr>
        <sz val="10.5"/>
        <color theme="1"/>
        <rFont val="Times New Roman"/>
        <family val="1"/>
      </rPr>
      <t>”</t>
    </r>
    <r>
      <rPr>
        <sz val="10.5"/>
        <color theme="1"/>
        <rFont val="宋体"/>
        <family val="3"/>
        <charset val="134"/>
      </rPr>
      <t>指桥梁与道路连接有高差</t>
    </r>
    <r>
      <rPr>
        <sz val="10.5"/>
        <color theme="1"/>
        <rFont val="Times New Roman"/>
        <family val="1"/>
      </rPr>
      <t>,</t>
    </r>
    <r>
      <rPr>
        <sz val="10.5"/>
        <color theme="1"/>
        <rFont val="宋体"/>
        <family val="3"/>
        <charset val="134"/>
      </rPr>
      <t>高度差未超过5.2.6条限值</t>
    </r>
    <r>
      <rPr>
        <sz val="10.5"/>
        <color theme="1"/>
        <rFont val="Times New Roman"/>
        <family val="1"/>
      </rPr>
      <t>: “</t>
    </r>
    <r>
      <rPr>
        <sz val="10.5"/>
        <color theme="1"/>
        <rFont val="宋体"/>
        <family val="3"/>
        <charset val="134"/>
      </rPr>
      <t>明显</t>
    </r>
    <r>
      <rPr>
        <sz val="10.5"/>
        <color theme="1"/>
        <rFont val="Times New Roman"/>
        <family val="1"/>
      </rPr>
      <t>”</t>
    </r>
    <r>
      <rPr>
        <sz val="10.5"/>
        <color theme="1"/>
        <rFont val="宋体"/>
        <family val="3"/>
        <charset val="134"/>
      </rPr>
      <t>指桥梁与道路连接有高差</t>
    </r>
    <r>
      <rPr>
        <sz val="10.5"/>
        <color theme="1"/>
        <rFont val="Times New Roman"/>
        <family val="1"/>
      </rPr>
      <t>,</t>
    </r>
    <r>
      <rPr>
        <sz val="10.5"/>
        <color theme="1"/>
        <rFont val="宋体"/>
        <family val="3"/>
        <charset val="134"/>
      </rPr>
      <t>高度差超过5.2.6条限值</t>
    </r>
  </si>
  <si>
    <t>道路路面在桥梁台背回填处出现沉降的深度</t>
  </si>
  <si>
    <t>&lt;2cm</t>
  </si>
  <si>
    <t>2～5cm</t>
  </si>
  <si>
    <t>&gt;5cm</t>
  </si>
  <si>
    <t>松动</t>
  </si>
  <si>
    <t>带螺栓的伸缩装置中原本紧固的螺帽产生松动</t>
  </si>
  <si>
    <r>
      <t>1</t>
    </r>
    <r>
      <rPr>
        <sz val="10.5"/>
        <color theme="1"/>
        <rFont val="宋体"/>
        <family val="3"/>
        <charset val="134"/>
      </rPr>
      <t>～5个</t>
    </r>
  </si>
  <si>
    <r>
      <t>&gt;5</t>
    </r>
    <r>
      <rPr>
        <sz val="10.5"/>
        <color theme="1"/>
        <rFont val="宋体"/>
        <family val="3"/>
        <charset val="134"/>
      </rPr>
      <t>个</t>
    </r>
  </si>
  <si>
    <t>螺帽松动的数量</t>
  </si>
  <si>
    <t>缝内沉积物阻塞</t>
  </si>
  <si>
    <t>垃圾泥土等杂物进入伸缩装置造成伸缩装置阻塞</t>
  </si>
  <si>
    <t>少量</t>
  </si>
  <si>
    <t>严重</t>
  </si>
  <si>
    <t>“无”指几乎没有杂物进入伸缝内：“少量”指伸缩装置内有少量的杂物；“严重”指伸缩装置内有大量的杂物并造成伸缩装置严重阻塞</t>
  </si>
  <si>
    <t>接缝处铺装碎边</t>
  </si>
  <si>
    <t>桥梁接缝处桥面边缘出现破碎损坏</t>
  </si>
  <si>
    <t>接缝处高差</t>
  </si>
  <si>
    <t>伸缩装置高差；伸缩装置保护带与桥面的高差</t>
  </si>
  <si>
    <r>
      <t>“无”指桥梁伸缩装置与桥面（路面）连接平顺，目测不出高差：“轻微”指桥梁伸缩装置与桥面（路面）连接处有高差，高度差未超出</t>
    </r>
    <r>
      <rPr>
        <sz val="10.5"/>
        <color theme="1"/>
        <rFont val="Times New Roman"/>
        <family val="1"/>
      </rPr>
      <t>5.2.6</t>
    </r>
    <r>
      <rPr>
        <sz val="10.5"/>
        <color theme="1"/>
        <rFont val="宋体"/>
        <family val="3"/>
        <charset val="134"/>
      </rPr>
      <t>条限值；“明显”指桥梁伸缩装置与桥面（路面）高度差超过</t>
    </r>
    <r>
      <rPr>
        <sz val="10.5"/>
        <color theme="1"/>
        <rFont val="Times New Roman"/>
        <family val="1"/>
      </rPr>
      <t>5.2.6</t>
    </r>
    <r>
      <rPr>
        <sz val="10.5"/>
        <color theme="1"/>
        <rFont val="宋体"/>
        <family val="3"/>
        <charset val="134"/>
      </rPr>
      <t>条限值</t>
    </r>
  </si>
  <si>
    <t>钢材料翘曲变形</t>
  </si>
  <si>
    <t>伸缩装置内的钢材料构件产生不均匀应变而形成非正常的弯曲或扭曲变形</t>
  </si>
  <si>
    <r>
      <t>“无”指钢材料没有翘曲变形；“轻微”指钢材料有≤</t>
    </r>
    <r>
      <rPr>
        <sz val="10.5"/>
        <color theme="1"/>
        <rFont val="Times New Roman"/>
        <family val="1"/>
      </rPr>
      <t>1cm</t>
    </r>
    <r>
      <rPr>
        <sz val="10.5"/>
        <color theme="1"/>
        <rFont val="宋体"/>
        <family val="3"/>
        <charset val="134"/>
      </rPr>
      <t>的翘曲变形，这种变形基本上下不影响该构件原有的功能；“严重”指钢材料有</t>
    </r>
    <r>
      <rPr>
        <sz val="10.5"/>
        <color theme="1"/>
        <rFont val="Times New Roman"/>
        <family val="1"/>
      </rPr>
      <t xml:space="preserve">&gt;1cm </t>
    </r>
    <r>
      <rPr>
        <sz val="10.5"/>
        <color theme="1"/>
        <rFont val="宋体"/>
        <family val="3"/>
        <charset val="134"/>
      </rPr>
      <t>的翘曲变形，这种变形严重影响甚至破坏了该构件原有的功能</t>
    </r>
  </si>
  <si>
    <t>伸缩装置在设计时预留的正常缝宽</t>
  </si>
  <si>
    <t>正常</t>
  </si>
  <si>
    <t>略有</t>
  </si>
  <si>
    <t>卡死</t>
  </si>
  <si>
    <r>
      <t>“正常”指伸缩装置宽为设计时预留的正常缝宽；“略有变化”与设计时预留的正常缝宽相比有</t>
    </r>
    <r>
      <rPr>
        <sz val="10.5"/>
        <color theme="1"/>
        <rFont val="Times New Roman"/>
        <family val="1"/>
      </rPr>
      <t>&gt;2cm</t>
    </r>
    <r>
      <rPr>
        <sz val="10.5"/>
        <color theme="1"/>
        <rFont val="宋体"/>
        <family val="3"/>
        <charset val="134"/>
      </rPr>
      <t>的变化；“卡死”指伸缩装置宽几乎为零，伸缩装置两侧的桥梁构件紧密地接触在一起</t>
    </r>
  </si>
  <si>
    <t>伸缩装置处异常声响</t>
  </si>
  <si>
    <t>伸缩装置结构在车辆经过时发出非正常声响</t>
  </si>
  <si>
    <t>“无”指伸缩装置在车辆经过时没有异常声响；“轻微”指伸缩装置在车辆经过时发出不太明显的异常声响；“严重”指伸缩装置在车辆经过时发出很明显的异常声响</t>
  </si>
  <si>
    <t>泄水管阻塞</t>
  </si>
  <si>
    <t>垃圾泥土等杂物进入泄水管造成泄水管阻塞</t>
  </si>
  <si>
    <t>&lt;5%</t>
  </si>
  <si>
    <r>
      <t>5%</t>
    </r>
    <r>
      <rPr>
        <sz val="10.5"/>
        <color theme="1"/>
        <rFont val="宋体"/>
        <family val="3"/>
        <charset val="134"/>
      </rPr>
      <t>～</t>
    </r>
    <r>
      <rPr>
        <sz val="10.5"/>
        <color theme="1"/>
        <rFont val="Times New Roman"/>
        <family val="1"/>
      </rPr>
      <t>20%</t>
    </r>
  </si>
  <si>
    <t>&gt;20%</t>
  </si>
  <si>
    <t>被阻塞的泄水管数占所有泄水管总数的百分比</t>
  </si>
  <si>
    <t>残缺</t>
  </si>
  <si>
    <t>排水设施残缺不全或脱落</t>
  </si>
  <si>
    <t>残缺脱落的排水设施数占所有排水设施总数的百分比</t>
  </si>
  <si>
    <t>桥面雨水不能及时排走而形成积水</t>
  </si>
  <si>
    <t>个别处</t>
  </si>
  <si>
    <t>多处</t>
  </si>
  <si>
    <t>“无”指桥面没有积水现象；“个别处”指桥面只有一处积水现象；“多处”指桥面有两处以上积水现象</t>
  </si>
  <si>
    <t>防水层</t>
  </si>
  <si>
    <t>设置于桥面铺装内的水泥或沥青混凝土的防水结构层</t>
  </si>
  <si>
    <t>完好</t>
  </si>
  <si>
    <t>渗水</t>
  </si>
  <si>
    <t>漏水</t>
  </si>
  <si>
    <t>“完好”指防水层完好，从桥梁梁底来看没有渗水的痕迹；“渗水”指防水层有轻微的渗水，从桥梁梁底来看在个别位置有不太明显的渗水痕迹；“漏水”指防水层漏水，从桥梁梁底来看在多处位置有漏水的痕迹并且漏水量较大</t>
  </si>
  <si>
    <t>桥面铺装</t>
  </si>
  <si>
    <t>桥面铺装</t>
    <phoneticPr fontId="1" type="noConversion"/>
  </si>
  <si>
    <t>桥
面
铺
装</t>
    <phoneticPr fontId="1" type="noConversion"/>
  </si>
  <si>
    <t>道路路面在桥梁台背回填处出现沉降的深度</t>
    <phoneticPr fontId="1" type="noConversion"/>
  </si>
  <si>
    <t>伸
缩
装
置</t>
  </si>
  <si>
    <t>伸
缩
装
置</t>
    <phoneticPr fontId="1" type="noConversion"/>
  </si>
  <si>
    <t>螺帽松动</t>
    <phoneticPr fontId="1" type="noConversion"/>
  </si>
  <si>
    <t>排
水
系
统</t>
  </si>
  <si>
    <t>排
水
系
统</t>
    <phoneticPr fontId="1" type="noConversion"/>
  </si>
  <si>
    <t>锈蚀</t>
  </si>
  <si>
    <t>钢筋混凝土材料的栏杆或护栏表面水泥混凝土剥落露出内嵌的钢筋且钢筋产生锈蚀</t>
  </si>
  <si>
    <r>
      <t>5%</t>
    </r>
    <r>
      <rPr>
        <sz val="10.5"/>
        <color theme="1"/>
        <rFont val="宋体"/>
        <family val="3"/>
        <charset val="134"/>
      </rPr>
      <t>～</t>
    </r>
    <r>
      <rPr>
        <sz val="10.5"/>
        <color theme="1"/>
        <rFont val="Times New Roman"/>
        <family val="1"/>
      </rPr>
      <t>10%</t>
    </r>
  </si>
  <si>
    <t>产生露筋锈蚀的构件数占所有栏杆或护栏构件总数的百分比</t>
  </si>
  <si>
    <t>原本固定在桥面的栏杆或护栏产生松动或位置错动</t>
  </si>
  <si>
    <t>中等</t>
  </si>
  <si>
    <r>
      <t>“轻微”指栏杆或护栏只有个别的构件松动或错位，只稍微影响美观但不影响安全；“中等”指栏杆或护栏有≤</t>
    </r>
    <r>
      <rPr>
        <sz val="10.5"/>
        <color theme="1"/>
        <rFont val="Times New Roman"/>
        <family val="1"/>
      </rPr>
      <t>20%</t>
    </r>
    <r>
      <rPr>
        <sz val="10.5"/>
        <color theme="1"/>
        <rFont val="宋体"/>
        <family val="3"/>
        <charset val="134"/>
      </rPr>
      <t>的构件松动或错位，不仅影响美观而且存在一定的安全隐患；“严重”指栏杆或护栏有</t>
    </r>
    <r>
      <rPr>
        <sz val="10.5"/>
        <color theme="1"/>
        <rFont val="Times New Roman"/>
        <family val="1"/>
      </rPr>
      <t>20%</t>
    </r>
    <r>
      <rPr>
        <sz val="10.5"/>
        <color theme="1"/>
        <rFont val="宋体"/>
        <family val="3"/>
        <charset val="134"/>
      </rPr>
      <t>以上的构件松动或错位，不仅严重影响美观而且存在严重的安全隐患</t>
    </r>
  </si>
  <si>
    <t>*</t>
  </si>
  <si>
    <t>栏杆或护栏的构件损坏后丢失使得栏杆或护栏残缺不全</t>
  </si>
  <si>
    <r>
      <t>“轻微”指栏杆或护栏只有个别的构件丢失或残缺，只稍微影响美观但不影响安全；“中等”指栏杆或护栏有≤</t>
    </r>
    <r>
      <rPr>
        <sz val="10.5"/>
        <color theme="1"/>
        <rFont val="Times New Roman"/>
        <family val="1"/>
      </rPr>
      <t>20%</t>
    </r>
    <r>
      <rPr>
        <sz val="10.5"/>
        <color theme="1"/>
        <rFont val="宋体"/>
        <family val="3"/>
        <charset val="134"/>
      </rPr>
      <t>的构件丢失或残缺，不仅影响美观而且存在一定的安全隐患；“严重”指栏杆或护栏有</t>
    </r>
    <r>
      <rPr>
        <sz val="10.5"/>
        <color theme="1"/>
        <rFont val="Times New Roman"/>
        <family val="1"/>
      </rPr>
      <t>20%</t>
    </r>
    <r>
      <rPr>
        <sz val="10.5"/>
        <color theme="1"/>
        <rFont val="宋体"/>
        <family val="3"/>
        <charset val="134"/>
      </rPr>
      <t>以上的构件丢失或残缺，不仅严重影响美观而且存在严重的安全隐患</t>
    </r>
  </si>
  <si>
    <t>人行道</t>
  </si>
  <si>
    <t>网裂</t>
  </si>
  <si>
    <t>人行道面产生交错裂缝，把人行道块件分割成网状的碎块</t>
  </si>
  <si>
    <t>&lt;10%</t>
  </si>
  <si>
    <r>
      <t>10%</t>
    </r>
    <r>
      <rPr>
        <sz val="10.5"/>
        <color theme="1"/>
        <rFont val="宋体"/>
        <family val="3"/>
        <charset val="134"/>
      </rPr>
      <t>～</t>
    </r>
    <r>
      <rPr>
        <sz val="10.5"/>
        <color theme="1"/>
        <rFont val="Times New Roman"/>
        <family val="1"/>
      </rPr>
      <t>20%</t>
    </r>
  </si>
  <si>
    <t>网裂总面积占整个人行道面积的百分比</t>
  </si>
  <si>
    <t>塌陷总面积占整个人行道面积的百分比</t>
  </si>
  <si>
    <t>人行道块件破碎并材料散失</t>
  </si>
  <si>
    <t>残缺总面积占整个人行道面积的百分比</t>
  </si>
  <si>
    <t>栏
杆
或
护
栏</t>
    <phoneticPr fontId="1" type="noConversion"/>
  </si>
  <si>
    <t>露筋锈蚀</t>
  </si>
  <si>
    <t>露筋锈蚀</t>
    <phoneticPr fontId="1" type="noConversion"/>
  </si>
  <si>
    <t>松动错位</t>
    <phoneticPr fontId="1" type="noConversion"/>
  </si>
  <si>
    <t>丢失残缺</t>
    <phoneticPr fontId="1" type="noConversion"/>
  </si>
  <si>
    <t>部位</t>
  </si>
  <si>
    <t>部位</t>
    <phoneticPr fontId="1" type="noConversion"/>
  </si>
  <si>
    <t>序号</t>
    <phoneticPr fontId="1" type="noConversion"/>
  </si>
  <si>
    <t>残缺脱落</t>
    <phoneticPr fontId="1" type="noConversion"/>
  </si>
  <si>
    <t>桥面积水</t>
    <phoneticPr fontId="1" type="noConversion"/>
  </si>
  <si>
    <t>桥面系各构件评分等级扣分表</t>
    <phoneticPr fontId="1" type="noConversion"/>
  </si>
  <si>
    <t>扣分值</t>
    <phoneticPr fontId="1" type="noConversion"/>
  </si>
  <si>
    <t>网裂或龟裂</t>
    <phoneticPr fontId="1" type="noConversion"/>
  </si>
  <si>
    <t>波浪及车辙</t>
    <phoneticPr fontId="1" type="noConversion"/>
  </si>
  <si>
    <t>碎裂或破碎</t>
    <phoneticPr fontId="1" type="noConversion"/>
  </si>
  <si>
    <t>混凝土剥离</t>
  </si>
  <si>
    <t>&lt;1%</t>
  </si>
  <si>
    <t>&gt;2%</t>
  </si>
  <si>
    <t>梁体向下弯曲</t>
  </si>
  <si>
    <t>结构裂缝</t>
  </si>
  <si>
    <t>梁体由于受力而产生的裂缝</t>
  </si>
  <si>
    <t>裂缝处渗水</t>
  </si>
  <si>
    <t>与桥面道路中线大致垂直并且在横向可能贯通整个桥面的裂缝，有时伴有少量支缝</t>
  </si>
  <si>
    <t>非贯通</t>
  </si>
  <si>
    <t>与桥面道路中线大致平行并且在纵向可能贯通整个桥面的裂缝，有时伴有少量支缝</t>
  </si>
  <si>
    <t>横隔板剥落露筋</t>
  </si>
  <si>
    <t>横隔板表面混凝土剥落露出内嵌的钢筋</t>
  </si>
  <si>
    <t>梁体异常振动</t>
  </si>
  <si>
    <t>梁体出现非正常的振动</t>
  </si>
  <si>
    <t>有无落架趋势</t>
  </si>
  <si>
    <t>由于防落梁装置的作用而使桥梁结构有或无落架的趋势</t>
  </si>
  <si>
    <t>有</t>
  </si>
  <si>
    <t>牛腿表面损伤</t>
  </si>
  <si>
    <t>防落梁装置的牛腿表面被损坏</t>
  </si>
  <si>
    <t>剥离</t>
  </si>
  <si>
    <t>伸缩装置处渗水</t>
  </si>
  <si>
    <t>防落梁伸缩装置处有渗水的痕迹</t>
  </si>
  <si>
    <t>防落梁装置上起锚固作用的钢板</t>
  </si>
  <si>
    <t>损坏类型</t>
    <phoneticPr fontId="1" type="noConversion"/>
  </si>
  <si>
    <t>损坏类型</t>
    <phoneticPr fontId="1" type="noConversion"/>
  </si>
  <si>
    <t>梁体下挠</t>
    <phoneticPr fontId="1" type="noConversion"/>
  </si>
  <si>
    <t>梁体裂缝处有渗水痕迹</t>
    <phoneticPr fontId="1" type="noConversion"/>
  </si>
  <si>
    <t>横向联系</t>
  </si>
  <si>
    <t>横
向
联
系</t>
    <phoneticPr fontId="1" type="noConversion"/>
  </si>
  <si>
    <t>防
落
梁
装
置</t>
    <phoneticPr fontId="1" type="noConversion"/>
  </si>
  <si>
    <t>上部结构各构件评分等级扣分表</t>
    <phoneticPr fontId="1" type="noConversion"/>
  </si>
  <si>
    <t>扣分值</t>
    <phoneticPr fontId="1" type="noConversion"/>
  </si>
  <si>
    <t>序号</t>
    <phoneticPr fontId="1" type="noConversion"/>
  </si>
  <si>
    <t>盖（帽）梁表面产生网状裂缝</t>
  </si>
  <si>
    <r>
      <t>3%</t>
    </r>
    <r>
      <rPr>
        <sz val="10.5"/>
        <color theme="1"/>
        <rFont val="宋体"/>
        <family val="3"/>
        <charset val="134"/>
      </rPr>
      <t>～</t>
    </r>
    <r>
      <rPr>
        <sz val="10.5"/>
        <color theme="1"/>
        <rFont val="Times New Roman"/>
        <family val="1"/>
      </rPr>
      <t>10%</t>
    </r>
  </si>
  <si>
    <t>盖（帽）梁表面混凝土破裂脱落</t>
  </si>
  <si>
    <r>
      <t>1%</t>
    </r>
    <r>
      <rPr>
        <sz val="10.5"/>
        <color theme="1"/>
        <rFont val="宋体"/>
        <family val="3"/>
        <charset val="134"/>
      </rPr>
      <t>～</t>
    </r>
    <r>
      <rPr>
        <sz val="10.5"/>
        <color theme="1"/>
        <rFont val="Times New Roman"/>
        <family val="1"/>
      </rPr>
      <t>2%</t>
    </r>
  </si>
  <si>
    <t>盖（帽）梁表面混凝土脱落后露出内嵌的钢筋并且钢筋产生锈蚀</t>
  </si>
  <si>
    <t>盖（帽）梁由于受力而产生的裂缝</t>
  </si>
  <si>
    <t>盖（帽）梁裂缝处有渗水痕迹</t>
  </si>
  <si>
    <t>墩台成块脱落</t>
  </si>
  <si>
    <t>盖（帽）梁处墩台表面混凝土成块破损并脱落</t>
  </si>
  <si>
    <t>墩身水平裂缝</t>
  </si>
  <si>
    <t>桥墩表面出现与水平面大致平行的裂缝</t>
  </si>
  <si>
    <t>墩身纵向裂缝</t>
  </si>
  <si>
    <t>桥墩表面出现与水平面大致垂直的裂缝</t>
  </si>
  <si>
    <t>微裂</t>
  </si>
  <si>
    <t>倾斜</t>
  </si>
  <si>
    <t>与桥面道路中线大致垂直并且在横向可能贯通整个桥面的裂缝</t>
  </si>
  <si>
    <t>变形</t>
  </si>
  <si>
    <t>开裂</t>
  </si>
  <si>
    <t>支座底部的水泥混凝土板</t>
  </si>
  <si>
    <t>碎裂</t>
  </si>
  <si>
    <t>支座的支承稳定性</t>
  </si>
  <si>
    <t>稳定</t>
  </si>
  <si>
    <t>不稳</t>
  </si>
  <si>
    <t>落梁</t>
  </si>
  <si>
    <t>基础</t>
  </si>
  <si>
    <t>桥梁基础被水冲刷的程度</t>
  </si>
  <si>
    <t>桥梁基础下部被水冲刷形成空洞</t>
  </si>
  <si>
    <t>桥梁基础的位置形态</t>
  </si>
  <si>
    <t>坍塌变形</t>
  </si>
  <si>
    <t>耳（背、翼）墙表面的混凝土破损脱落</t>
  </si>
  <si>
    <t>翼墙与桥台结合处情况</t>
  </si>
  <si>
    <t>脱开</t>
  </si>
  <si>
    <t>耳（背、翼）墙挡土功能的情况</t>
  </si>
  <si>
    <t>翼墙大贯通缝</t>
  </si>
  <si>
    <t>贯通整个翼墙的裂缝</t>
  </si>
  <si>
    <t>大量</t>
  </si>
  <si>
    <t>支座</t>
  </si>
  <si>
    <t>支座</t>
    <phoneticPr fontId="1" type="noConversion"/>
  </si>
  <si>
    <t>基础</t>
    <phoneticPr fontId="1" type="noConversion"/>
  </si>
  <si>
    <t>直径减小</t>
    <phoneticPr fontId="1" type="noConversion"/>
  </si>
  <si>
    <t>桥梁基础下混凝土桩的情况</t>
    <phoneticPr fontId="1" type="noConversion"/>
  </si>
  <si>
    <t>基础掏空</t>
    <phoneticPr fontId="1" type="noConversion"/>
  </si>
  <si>
    <t>基础冲刷</t>
    <phoneticPr fontId="1" type="noConversion"/>
  </si>
  <si>
    <t>基础移动</t>
    <phoneticPr fontId="1" type="noConversion"/>
  </si>
  <si>
    <t>剥离脱落</t>
    <phoneticPr fontId="1" type="noConversion"/>
  </si>
  <si>
    <t>失去部分</t>
    <phoneticPr fontId="1" type="noConversion"/>
  </si>
  <si>
    <t>完全散失</t>
    <phoneticPr fontId="1" type="noConversion"/>
  </si>
  <si>
    <t>序号</t>
    <phoneticPr fontId="1" type="noConversion"/>
  </si>
  <si>
    <t>评估要素</t>
  </si>
  <si>
    <t>伸缩装置</t>
  </si>
  <si>
    <t>排水系统</t>
  </si>
  <si>
    <t>护栏</t>
  </si>
  <si>
    <t>构件类型</t>
  </si>
  <si>
    <t>梁桥</t>
  </si>
  <si>
    <t>主梁</t>
  </si>
  <si>
    <t>悬臂梁</t>
  </si>
  <si>
    <t>挂梁</t>
  </si>
  <si>
    <t>挂梁支座</t>
  </si>
  <si>
    <t>防落梁装置</t>
  </si>
  <si>
    <t>悬臂+挂梁</t>
  </si>
  <si>
    <t>桁架桥</t>
  </si>
  <si>
    <t>桁片</t>
  </si>
  <si>
    <t>主节点</t>
  </si>
  <si>
    <t>纵梁</t>
  </si>
  <si>
    <t>横梁</t>
  </si>
  <si>
    <t>联结件</t>
  </si>
  <si>
    <t>拱桥</t>
  </si>
  <si>
    <t>主拱圈</t>
  </si>
  <si>
    <t>刚构桥</t>
  </si>
  <si>
    <t>横向联结</t>
  </si>
  <si>
    <t>盖梁</t>
  </si>
  <si>
    <t>墩身</t>
  </si>
  <si>
    <t>台帽</t>
  </si>
  <si>
    <t>台身</t>
  </si>
  <si>
    <t>耳（翼）墙</t>
  </si>
  <si>
    <t>损坏类型</t>
    <phoneticPr fontId="1" type="noConversion"/>
  </si>
  <si>
    <t>序号</t>
    <phoneticPr fontId="1" type="noConversion"/>
  </si>
  <si>
    <r>
      <t>比重</t>
    </r>
    <r>
      <rPr>
        <b/>
        <sz val="14"/>
        <color theme="1"/>
        <rFont val="宋体"/>
        <family val="3"/>
        <charset val="134"/>
        <scheme val="minor"/>
      </rPr>
      <t>μ</t>
    </r>
    <r>
      <rPr>
        <sz val="8"/>
        <color theme="1"/>
        <rFont val="宋体"/>
        <family val="3"/>
        <charset val="134"/>
        <scheme val="minor"/>
      </rPr>
      <t>ij</t>
    </r>
    <phoneticPr fontId="1" type="noConversion"/>
  </si>
  <si>
    <r>
      <t>权重</t>
    </r>
    <r>
      <rPr>
        <b/>
        <sz val="12"/>
        <color theme="1"/>
        <rFont val="宋体"/>
        <family val="3"/>
        <charset val="134"/>
        <scheme val="minor"/>
      </rPr>
      <t>ω</t>
    </r>
    <r>
      <rPr>
        <sz val="8"/>
        <color theme="1"/>
        <rFont val="宋体"/>
        <family val="3"/>
        <charset val="134"/>
        <scheme val="minor"/>
      </rPr>
      <t>ij</t>
    </r>
    <phoneticPr fontId="1" type="noConversion"/>
  </si>
  <si>
    <r>
      <rPr>
        <b/>
        <sz val="12"/>
        <color theme="1"/>
        <rFont val="宋体"/>
        <family val="3"/>
        <charset val="134"/>
        <scheme val="minor"/>
      </rPr>
      <t>DP</t>
    </r>
    <r>
      <rPr>
        <sz val="8"/>
        <color theme="1"/>
        <rFont val="宋体"/>
        <family val="3"/>
        <charset val="134"/>
        <scheme val="minor"/>
      </rPr>
      <t>i</t>
    </r>
    <r>
      <rPr>
        <sz val="11"/>
        <color theme="1"/>
        <rFont val="宋体"/>
        <family val="2"/>
        <scheme val="minor"/>
      </rPr>
      <t>×</t>
    </r>
    <r>
      <rPr>
        <b/>
        <sz val="12"/>
        <color theme="1"/>
        <rFont val="宋体"/>
        <family val="3"/>
        <charset val="134"/>
        <scheme val="minor"/>
      </rPr>
      <t>ω</t>
    </r>
    <r>
      <rPr>
        <sz val="8"/>
        <color theme="1"/>
        <rFont val="宋体"/>
        <family val="3"/>
        <charset val="134"/>
        <scheme val="minor"/>
      </rPr>
      <t>ij</t>
    </r>
    <phoneticPr fontId="1" type="noConversion"/>
  </si>
  <si>
    <r>
      <t>单项扣分</t>
    </r>
    <r>
      <rPr>
        <b/>
        <sz val="12"/>
        <color theme="1"/>
        <rFont val="宋体"/>
        <family val="3"/>
        <charset val="134"/>
        <scheme val="minor"/>
      </rPr>
      <t>DP</t>
    </r>
    <r>
      <rPr>
        <sz val="8"/>
        <color theme="1"/>
        <rFont val="宋体"/>
        <family val="3"/>
        <charset val="134"/>
        <scheme val="minor"/>
      </rPr>
      <t>ij</t>
    </r>
    <phoneticPr fontId="1" type="noConversion"/>
  </si>
  <si>
    <t>合计</t>
    <phoneticPr fontId="1" type="noConversion"/>
  </si>
  <si>
    <t>单项评分</t>
    <phoneticPr fontId="1" type="noConversion"/>
  </si>
  <si>
    <t>桥头平顺</t>
    <phoneticPr fontId="1" type="noConversion"/>
  </si>
  <si>
    <t>合计</t>
    <phoneticPr fontId="1" type="noConversion"/>
  </si>
  <si>
    <t>栏杆或
护栏</t>
    <phoneticPr fontId="1" type="noConversion"/>
  </si>
  <si>
    <r>
      <t>桥面系各单项</t>
    </r>
    <r>
      <rPr>
        <b/>
        <i/>
        <sz val="16"/>
        <color rgb="FFFF0000"/>
        <rFont val="宋体"/>
        <family val="3"/>
        <charset val="134"/>
        <scheme val="minor"/>
      </rPr>
      <t>BCI</t>
    </r>
    <r>
      <rPr>
        <sz val="8"/>
        <color rgb="FFFF0000"/>
        <rFont val="宋体"/>
        <family val="3"/>
        <charset val="134"/>
        <scheme val="minor"/>
      </rPr>
      <t>i</t>
    </r>
    <r>
      <rPr>
        <sz val="16"/>
        <color rgb="FFFF0000"/>
        <rFont val="宋体"/>
        <family val="2"/>
        <scheme val="minor"/>
      </rPr>
      <t>计算</t>
    </r>
    <phoneticPr fontId="1" type="noConversion"/>
  </si>
  <si>
    <t>耳（背、翼）墙</t>
    <phoneticPr fontId="1" type="noConversion"/>
  </si>
  <si>
    <t>BCI</t>
  </si>
  <si>
    <t>BCI≥90</t>
  </si>
  <si>
    <t>90&gt;BCI≥80</t>
  </si>
  <si>
    <t>80&gt;BCI≥66</t>
  </si>
  <si>
    <t>66&gt;BCI≥50</t>
  </si>
  <si>
    <t>BCI&lt;50</t>
  </si>
  <si>
    <t>A</t>
  </si>
  <si>
    <t>B</t>
  </si>
  <si>
    <t>C</t>
  </si>
  <si>
    <t>D</t>
  </si>
  <si>
    <t>E</t>
  </si>
  <si>
    <r>
      <t>下部结构</t>
    </r>
    <r>
      <rPr>
        <sz val="16"/>
        <color rgb="FFFF0000"/>
        <rFont val="宋体"/>
        <family val="3"/>
        <charset val="134"/>
        <scheme val="minor"/>
      </rPr>
      <t>(桥台)</t>
    </r>
    <r>
      <rPr>
        <sz val="16"/>
        <color rgb="FFFF0000"/>
        <rFont val="宋体"/>
        <family val="2"/>
        <scheme val="minor"/>
      </rPr>
      <t>各单项</t>
    </r>
    <r>
      <rPr>
        <b/>
        <i/>
        <sz val="16"/>
        <color rgb="FFFF0000"/>
        <rFont val="宋体"/>
        <family val="3"/>
        <charset val="134"/>
        <scheme val="minor"/>
      </rPr>
      <t>BCI</t>
    </r>
    <r>
      <rPr>
        <sz val="8"/>
        <color rgb="FFFF0000"/>
        <rFont val="宋体"/>
        <family val="3"/>
        <charset val="134"/>
        <scheme val="minor"/>
      </rPr>
      <t>i</t>
    </r>
    <r>
      <rPr>
        <sz val="16"/>
        <color rgb="FFFF0000"/>
        <rFont val="宋体"/>
        <family val="2"/>
        <scheme val="minor"/>
      </rPr>
      <t>计算</t>
    </r>
    <phoneticPr fontId="1" type="noConversion"/>
  </si>
  <si>
    <t>下部结构（桥台）各构件评分等级扣分表</t>
    <phoneticPr fontId="1" type="noConversion"/>
  </si>
  <si>
    <t>梁表面混凝土破裂脱落</t>
    <phoneticPr fontId="1" type="noConversion"/>
  </si>
  <si>
    <t>梁表面混凝土脱落后露出内嵌的钢筋并且钢筋产生锈蚀</t>
    <phoneticPr fontId="1" type="noConversion"/>
  </si>
  <si>
    <r>
      <t>“</t>
    </r>
    <r>
      <rPr>
        <sz val="10.5"/>
        <color theme="1"/>
        <rFont val="宋体"/>
        <family val="3"/>
        <charset val="134"/>
      </rPr>
      <t>无</t>
    </r>
    <r>
      <rPr>
        <sz val="10.5"/>
        <color theme="1"/>
        <rFont val="Times New Roman"/>
        <family val="1"/>
      </rPr>
      <t>”</t>
    </r>
    <r>
      <rPr>
        <sz val="10.5"/>
        <color theme="1"/>
        <rFont val="宋体"/>
        <family val="3"/>
        <charset val="134"/>
      </rPr>
      <t>指桥梁接缝处桥面边缘没有破损：</t>
    </r>
    <r>
      <rPr>
        <sz val="10.5"/>
        <color theme="1"/>
        <rFont val="Times New Roman"/>
        <family val="1"/>
      </rPr>
      <t>“</t>
    </r>
    <r>
      <rPr>
        <sz val="10.5"/>
        <color theme="1"/>
        <rFont val="宋体"/>
        <family val="3"/>
        <charset val="134"/>
      </rPr>
      <t>轻微</t>
    </r>
    <r>
      <rPr>
        <sz val="10.5"/>
        <color theme="1"/>
        <rFont val="Times New Roman"/>
        <family val="1"/>
      </rPr>
      <t>”</t>
    </r>
    <r>
      <rPr>
        <sz val="10.5"/>
        <color theme="1"/>
        <rFont val="宋体"/>
        <family val="3"/>
        <charset val="134"/>
      </rPr>
      <t>指桥梁接缝处桥面边缘有</t>
    </r>
    <r>
      <rPr>
        <sz val="10.5"/>
        <color theme="1"/>
        <rFont val="Times New Roman"/>
        <family val="1"/>
      </rPr>
      <t>10</t>
    </r>
    <r>
      <rPr>
        <sz val="10.5"/>
        <color theme="1"/>
        <rFont val="宋体"/>
        <family val="3"/>
        <charset val="134"/>
      </rPr>
      <t>个以内小于</t>
    </r>
    <r>
      <rPr>
        <sz val="10.5"/>
        <color theme="1"/>
        <rFont val="Times New Roman"/>
        <family val="1"/>
      </rPr>
      <t>0.1m2</t>
    </r>
    <r>
      <rPr>
        <sz val="10.5"/>
        <color theme="1"/>
        <rFont val="宋体"/>
        <family val="3"/>
        <charset val="134"/>
      </rPr>
      <t>，深度小于</t>
    </r>
    <r>
      <rPr>
        <sz val="10.5"/>
        <color theme="1"/>
        <rFont val="Times New Roman"/>
        <family val="1"/>
      </rPr>
      <t>2cm</t>
    </r>
    <r>
      <rPr>
        <sz val="10.5"/>
        <color theme="1"/>
        <rFont val="宋体"/>
        <family val="3"/>
        <charset val="134"/>
      </rPr>
      <t>的破损；</t>
    </r>
    <r>
      <rPr>
        <sz val="10.5"/>
        <color theme="1"/>
        <rFont val="Times New Roman"/>
        <family val="1"/>
      </rPr>
      <t>“</t>
    </r>
    <r>
      <rPr>
        <sz val="10.5"/>
        <color theme="1"/>
        <rFont val="宋体"/>
        <family val="3"/>
        <charset val="134"/>
      </rPr>
      <t>严重</t>
    </r>
    <r>
      <rPr>
        <sz val="10.5"/>
        <color theme="1"/>
        <rFont val="Times New Roman"/>
        <family val="1"/>
      </rPr>
      <t>”</t>
    </r>
    <r>
      <rPr>
        <sz val="10.5"/>
        <color theme="1"/>
        <rFont val="宋体"/>
        <family val="3"/>
        <charset val="134"/>
      </rPr>
      <t>指桥接缝处桥面边缘有</t>
    </r>
    <r>
      <rPr>
        <sz val="10.5"/>
        <color theme="1"/>
        <rFont val="Times New Roman"/>
        <family val="1"/>
      </rPr>
      <t>10</t>
    </r>
    <r>
      <rPr>
        <sz val="10.5"/>
        <color theme="1"/>
        <rFont val="宋体"/>
        <family val="3"/>
        <charset val="134"/>
      </rPr>
      <t>个以上破损或有面积大于</t>
    </r>
    <r>
      <rPr>
        <sz val="10.5"/>
        <color theme="1"/>
        <rFont val="Times New Roman"/>
        <family val="1"/>
      </rPr>
      <t>0.1m2</t>
    </r>
    <r>
      <rPr>
        <sz val="10.5"/>
        <color theme="1"/>
        <rFont val="宋体"/>
        <family val="3"/>
        <charset val="134"/>
      </rPr>
      <t>，深度大于</t>
    </r>
    <r>
      <rPr>
        <sz val="10.5"/>
        <color theme="1"/>
        <rFont val="Times New Roman"/>
        <family val="1"/>
      </rPr>
      <t>2cm</t>
    </r>
    <r>
      <rPr>
        <sz val="10.5"/>
        <color theme="1"/>
        <rFont val="宋体"/>
        <family val="3"/>
        <charset val="134"/>
      </rPr>
      <t>的破损</t>
    </r>
    <phoneticPr fontId="1" type="noConversion"/>
  </si>
  <si>
    <t>螺帽松动</t>
    <phoneticPr fontId="1" type="noConversion"/>
  </si>
  <si>
    <t>缝内沉积物阻塞</t>
    <phoneticPr fontId="1" type="noConversion"/>
  </si>
  <si>
    <t>接缝处铺装碎边</t>
    <phoneticPr fontId="1" type="noConversion"/>
  </si>
  <si>
    <t>接缝处高差</t>
    <phoneticPr fontId="1" type="noConversion"/>
  </si>
  <si>
    <t>钢材料翘曲变形</t>
    <phoneticPr fontId="1" type="noConversion"/>
  </si>
  <si>
    <t>伸缩装置处异常声响</t>
    <phoneticPr fontId="1" type="noConversion"/>
  </si>
  <si>
    <t>泄水管阻塞</t>
    <phoneticPr fontId="1" type="noConversion"/>
  </si>
  <si>
    <t>防水层</t>
    <phoneticPr fontId="1" type="noConversion"/>
  </si>
  <si>
    <t>网裂</t>
    <phoneticPr fontId="1" type="noConversion"/>
  </si>
  <si>
    <t>塌陷</t>
    <phoneticPr fontId="1" type="noConversion"/>
  </si>
  <si>
    <t>残缺</t>
    <phoneticPr fontId="1" type="noConversion"/>
  </si>
  <si>
    <t>桥头沉降</t>
    <phoneticPr fontId="1" type="noConversion"/>
  </si>
  <si>
    <r>
      <t>权重</t>
    </r>
    <r>
      <rPr>
        <b/>
        <sz val="12"/>
        <color theme="1"/>
        <rFont val="宋体"/>
        <family val="3"/>
        <charset val="134"/>
        <scheme val="minor"/>
      </rPr>
      <t>ω</t>
    </r>
    <r>
      <rPr>
        <sz val="8"/>
        <color theme="1"/>
        <rFont val="宋体"/>
        <family val="3"/>
        <charset val="134"/>
        <scheme val="minor"/>
      </rPr>
      <t>ij
3u</t>
    </r>
    <r>
      <rPr>
        <vertAlign val="superscript"/>
        <sz val="8"/>
        <color theme="1"/>
        <rFont val="宋体"/>
        <family val="3"/>
        <charset val="134"/>
        <scheme val="minor"/>
      </rPr>
      <t>3</t>
    </r>
    <r>
      <rPr>
        <sz val="8"/>
        <color theme="1"/>
        <rFont val="宋体"/>
        <family val="3"/>
        <charset val="134"/>
        <scheme val="minor"/>
      </rPr>
      <t>-5.5u</t>
    </r>
    <r>
      <rPr>
        <vertAlign val="superscript"/>
        <sz val="8"/>
        <color theme="1"/>
        <rFont val="宋体"/>
        <family val="3"/>
        <charset val="134"/>
        <scheme val="minor"/>
      </rPr>
      <t>2</t>
    </r>
    <r>
      <rPr>
        <sz val="8"/>
        <color theme="1"/>
        <rFont val="宋体"/>
        <family val="3"/>
        <charset val="134"/>
        <scheme val="minor"/>
      </rPr>
      <t>+3.5u</t>
    </r>
    <phoneticPr fontId="1" type="noConversion"/>
  </si>
  <si>
    <r>
      <t>比重</t>
    </r>
    <r>
      <rPr>
        <b/>
        <sz val="14"/>
        <color theme="1"/>
        <rFont val="宋体"/>
        <family val="3"/>
        <charset val="134"/>
        <scheme val="minor"/>
      </rPr>
      <t>μ</t>
    </r>
    <r>
      <rPr>
        <sz val="8"/>
        <color theme="1"/>
        <rFont val="宋体"/>
        <family val="3"/>
        <charset val="134"/>
        <scheme val="minor"/>
      </rPr>
      <t>ij
Dpij/∑Dpij</t>
    </r>
    <phoneticPr fontId="1" type="noConversion"/>
  </si>
  <si>
    <t xml:space="preserve">结构
缝宽异常
</t>
    <phoneticPr fontId="1" type="noConversion"/>
  </si>
  <si>
    <t>桥梁技术状况评定等级</t>
    <phoneticPr fontId="1" type="noConversion"/>
  </si>
  <si>
    <t>评估状态</t>
    <phoneticPr fontId="1" type="noConversion"/>
  </si>
  <si>
    <t>完好</t>
    <phoneticPr fontId="1" type="noConversion"/>
  </si>
  <si>
    <t>良好</t>
    <phoneticPr fontId="1" type="noConversion"/>
  </si>
  <si>
    <t>合格</t>
    <phoneticPr fontId="1" type="noConversion"/>
  </si>
  <si>
    <t>不合格</t>
    <phoneticPr fontId="1" type="noConversion"/>
  </si>
  <si>
    <t>危险</t>
    <phoneticPr fontId="1" type="noConversion"/>
  </si>
  <si>
    <t>评估等级</t>
    <phoneticPr fontId="1" type="noConversion"/>
  </si>
  <si>
    <t>桥梁结构组成部分权重（总）</t>
    <phoneticPr fontId="1" type="noConversion"/>
  </si>
  <si>
    <t>序号</t>
    <phoneticPr fontId="1" type="noConversion"/>
  </si>
  <si>
    <t xml:space="preserve">  桥面系（ωm）</t>
    <phoneticPr fontId="1" type="noConversion"/>
  </si>
  <si>
    <t>合计</t>
    <phoneticPr fontId="1" type="noConversion"/>
  </si>
  <si>
    <t>桥面系权重-1</t>
    <phoneticPr fontId="1" type="noConversion"/>
  </si>
  <si>
    <r>
      <t>桥梁技术状况</t>
    </r>
    <r>
      <rPr>
        <b/>
        <i/>
        <sz val="10"/>
        <color rgb="FFFF0000"/>
        <rFont val="宋体"/>
        <family val="3"/>
        <charset val="134"/>
        <scheme val="minor"/>
      </rPr>
      <t>BCI</t>
    </r>
    <r>
      <rPr>
        <b/>
        <sz val="10"/>
        <color rgb="FFFF0000"/>
        <rFont val="宋体"/>
        <family val="3"/>
        <charset val="134"/>
        <scheme val="minor"/>
      </rPr>
      <t>值</t>
    </r>
    <phoneticPr fontId="1" type="noConversion"/>
  </si>
  <si>
    <r>
      <t>权重</t>
    </r>
    <r>
      <rPr>
        <b/>
        <sz val="10"/>
        <color theme="1"/>
        <rFont val="宋体"/>
        <family val="3"/>
        <charset val="134"/>
        <scheme val="minor"/>
      </rPr>
      <t>ωi</t>
    </r>
    <phoneticPr fontId="1" type="noConversion"/>
  </si>
  <si>
    <r>
      <t>单项评分</t>
    </r>
    <r>
      <rPr>
        <b/>
        <sz val="10"/>
        <color theme="1"/>
        <rFont val="宋体"/>
        <family val="3"/>
        <charset val="134"/>
        <scheme val="minor"/>
      </rPr>
      <t>BCIi</t>
    </r>
    <phoneticPr fontId="1" type="noConversion"/>
  </si>
  <si>
    <r>
      <rPr>
        <b/>
        <sz val="10"/>
        <color theme="1"/>
        <rFont val="宋体"/>
        <family val="3"/>
        <charset val="134"/>
        <scheme val="minor"/>
      </rPr>
      <t>BCIi</t>
    </r>
    <r>
      <rPr>
        <sz val="10"/>
        <color theme="1"/>
        <rFont val="宋体"/>
        <family val="3"/>
        <charset val="134"/>
        <scheme val="minor"/>
      </rPr>
      <t>*</t>
    </r>
    <r>
      <rPr>
        <b/>
        <sz val="10"/>
        <color theme="1"/>
        <rFont val="宋体"/>
        <family val="3"/>
        <charset val="134"/>
        <scheme val="minor"/>
      </rPr>
      <t>ωi</t>
    </r>
    <phoneticPr fontId="1" type="noConversion"/>
  </si>
  <si>
    <r>
      <t>桥面系</t>
    </r>
    <r>
      <rPr>
        <b/>
        <i/>
        <sz val="10"/>
        <color rgb="FFFF0000"/>
        <rFont val="宋体"/>
        <family val="3"/>
        <charset val="134"/>
        <scheme val="minor"/>
      </rPr>
      <t>BCI</t>
    </r>
    <r>
      <rPr>
        <i/>
        <sz val="10"/>
        <color rgb="FFFF0000"/>
        <rFont val="宋体"/>
        <family val="3"/>
        <charset val="134"/>
        <scheme val="minor"/>
      </rPr>
      <t>m</t>
    </r>
    <r>
      <rPr>
        <sz val="10"/>
        <color rgb="FFFF0000"/>
        <rFont val="宋体"/>
        <family val="3"/>
        <charset val="134"/>
        <scheme val="minor"/>
      </rPr>
      <t>值</t>
    </r>
    <phoneticPr fontId="1" type="noConversion"/>
  </si>
  <si>
    <r>
      <t>桥面系</t>
    </r>
    <r>
      <rPr>
        <b/>
        <i/>
        <sz val="10"/>
        <color rgb="FFFF0000"/>
        <rFont val="宋体"/>
        <family val="3"/>
        <charset val="134"/>
        <scheme val="minor"/>
      </rPr>
      <t>BSI</t>
    </r>
    <r>
      <rPr>
        <i/>
        <sz val="10"/>
        <color rgb="FFFF0000"/>
        <rFont val="宋体"/>
        <family val="3"/>
        <charset val="134"/>
        <scheme val="minor"/>
      </rPr>
      <t>m</t>
    </r>
    <r>
      <rPr>
        <sz val="10"/>
        <color rgb="FFFF0000"/>
        <rFont val="宋体"/>
        <family val="3"/>
        <charset val="134"/>
        <scheme val="minor"/>
      </rPr>
      <t>值</t>
    </r>
    <phoneticPr fontId="1" type="noConversion"/>
  </si>
  <si>
    <r>
      <rPr>
        <b/>
        <i/>
        <sz val="10"/>
        <color rgb="FFFF0000"/>
        <rFont val="宋体"/>
        <family val="3"/>
        <charset val="134"/>
        <scheme val="minor"/>
      </rPr>
      <t>下部结构BCIx</t>
    </r>
    <r>
      <rPr>
        <b/>
        <sz val="10"/>
        <color rgb="FFFF0000"/>
        <rFont val="宋体"/>
        <family val="3"/>
        <charset val="134"/>
        <scheme val="minor"/>
      </rPr>
      <t>值</t>
    </r>
    <phoneticPr fontId="1" type="noConversion"/>
  </si>
  <si>
    <r>
      <rPr>
        <b/>
        <i/>
        <sz val="10"/>
        <color rgb="FFFF0000"/>
        <rFont val="宋体"/>
        <family val="3"/>
        <charset val="134"/>
        <scheme val="minor"/>
      </rPr>
      <t>下部结构BSIx</t>
    </r>
    <r>
      <rPr>
        <b/>
        <sz val="10"/>
        <color rgb="FFFF0000"/>
        <rFont val="宋体"/>
        <family val="3"/>
        <charset val="134"/>
        <scheme val="minor"/>
      </rPr>
      <t>值</t>
    </r>
    <phoneticPr fontId="1" type="noConversion"/>
  </si>
  <si>
    <t>0#台</t>
    <phoneticPr fontId="1" type="noConversion"/>
  </si>
  <si>
    <t>翼墙前结合处开裂</t>
    <phoneticPr fontId="1" type="noConversion"/>
  </si>
  <si>
    <t>挡土功能缺失</t>
    <phoneticPr fontId="1" type="noConversion"/>
  </si>
  <si>
    <t>桥墩</t>
    <phoneticPr fontId="1" type="noConversion"/>
  </si>
  <si>
    <t>桥台</t>
    <phoneticPr fontId="1" type="noConversion"/>
  </si>
  <si>
    <t>BCIxi</t>
    <phoneticPr fontId="1" type="noConversion"/>
  </si>
  <si>
    <t>BCIx</t>
    <phoneticPr fontId="1" type="noConversion"/>
  </si>
  <si>
    <t>桥梁结构技术状况评定等级</t>
    <phoneticPr fontId="1" type="noConversion"/>
  </si>
  <si>
    <t>BSI</t>
    <phoneticPr fontId="1" type="noConversion"/>
  </si>
  <si>
    <r>
      <t>BSI</t>
    </r>
    <r>
      <rPr>
        <b/>
        <sz val="10"/>
        <color rgb="FFFFFFFF"/>
        <rFont val="宋体"/>
        <family val="3"/>
        <charset val="134"/>
      </rPr>
      <t>≥</t>
    </r>
    <r>
      <rPr>
        <b/>
        <sz val="10"/>
        <color rgb="FFFFFFFF"/>
        <rFont val="Arial"/>
        <family val="2"/>
      </rPr>
      <t>90</t>
    </r>
    <phoneticPr fontId="1" type="noConversion"/>
  </si>
  <si>
    <r>
      <t>90&gt;BSI</t>
    </r>
    <r>
      <rPr>
        <b/>
        <sz val="10"/>
        <color rgb="FFFFFFFF"/>
        <rFont val="宋体"/>
        <family val="3"/>
        <charset val="134"/>
      </rPr>
      <t>≥</t>
    </r>
    <r>
      <rPr>
        <b/>
        <sz val="10"/>
        <color rgb="FFFFFFFF"/>
        <rFont val="Arial"/>
        <family val="2"/>
      </rPr>
      <t>80</t>
    </r>
    <phoneticPr fontId="1" type="noConversion"/>
  </si>
  <si>
    <r>
      <t>80&gt;BSI</t>
    </r>
    <r>
      <rPr>
        <b/>
        <sz val="10"/>
        <color rgb="FFFFFFFF"/>
        <rFont val="宋体"/>
        <family val="3"/>
        <charset val="134"/>
      </rPr>
      <t>≥</t>
    </r>
    <r>
      <rPr>
        <b/>
        <sz val="10"/>
        <color rgb="FFFFFFFF"/>
        <rFont val="Arial"/>
        <family val="2"/>
      </rPr>
      <t>66</t>
    </r>
    <phoneticPr fontId="1" type="noConversion"/>
  </si>
  <si>
    <r>
      <t>66&gt;BSI</t>
    </r>
    <r>
      <rPr>
        <b/>
        <sz val="10"/>
        <color rgb="FFFFFFFF"/>
        <rFont val="宋体"/>
        <family val="3"/>
        <charset val="134"/>
      </rPr>
      <t>≥</t>
    </r>
    <r>
      <rPr>
        <b/>
        <sz val="10"/>
        <color rgb="FFFFFFFF"/>
        <rFont val="Arial"/>
        <family val="2"/>
      </rPr>
      <t>50</t>
    </r>
    <phoneticPr fontId="1" type="noConversion"/>
  </si>
  <si>
    <t>BSI&lt;50</t>
    <phoneticPr fontId="1" type="noConversion"/>
  </si>
  <si>
    <t>坑洞</t>
    <phoneticPr fontId="1" type="noConversion"/>
  </si>
  <si>
    <t>桥面开裂或破损形成贯穿桥面的坑洞</t>
    <phoneticPr fontId="1" type="noConversion"/>
  </si>
  <si>
    <t>止水带破损老化</t>
    <phoneticPr fontId="1" type="noConversion"/>
  </si>
  <si>
    <t>伸缩缝橡胶条、填缝料、橡胶带等橡胶构件出现破损、老化</t>
    <phoneticPr fontId="1" type="noConversion"/>
  </si>
  <si>
    <r>
      <t>“</t>
    </r>
    <r>
      <rPr>
        <sz val="10.5"/>
        <color theme="1"/>
        <rFont val="宋体"/>
        <family val="3"/>
        <charset val="134"/>
      </rPr>
      <t>无</t>
    </r>
    <r>
      <rPr>
        <sz val="10.5"/>
        <color theme="1"/>
        <rFont val="Times New Roman"/>
        <family val="1"/>
      </rPr>
      <t>”</t>
    </r>
    <r>
      <rPr>
        <sz val="10.5"/>
        <color theme="1"/>
        <rFont val="宋体"/>
        <family val="3"/>
        <charset val="134"/>
      </rPr>
      <t>指伸缩缝止水带没有破损、老化；</t>
    </r>
    <r>
      <rPr>
        <sz val="10.5"/>
        <color theme="1"/>
        <rFont val="Times New Roman"/>
        <family val="1"/>
      </rPr>
      <t>“</t>
    </r>
    <r>
      <rPr>
        <sz val="10.5"/>
        <color theme="1"/>
        <rFont val="宋体"/>
        <family val="3"/>
        <charset val="134"/>
      </rPr>
      <t>轻微</t>
    </r>
    <r>
      <rPr>
        <sz val="10.5"/>
        <color theme="1"/>
        <rFont val="Times New Roman"/>
        <family val="1"/>
      </rPr>
      <t>”</t>
    </r>
    <r>
      <rPr>
        <sz val="10.5"/>
        <color theme="1"/>
        <rFont val="宋体"/>
        <family val="3"/>
        <charset val="134"/>
      </rPr>
      <t>指破损长度小于该缝长度</t>
    </r>
    <r>
      <rPr>
        <sz val="10.5"/>
        <color theme="1"/>
        <rFont val="Times New Roman"/>
        <family val="1"/>
      </rPr>
      <t>20%</t>
    </r>
    <r>
      <rPr>
        <sz val="10.5"/>
        <color theme="1"/>
        <rFont val="宋体"/>
        <family val="3"/>
        <charset val="134"/>
      </rPr>
      <t>或少量橡胶构件出现老化，弹性性能下降；</t>
    </r>
    <r>
      <rPr>
        <sz val="10.5"/>
        <color theme="1"/>
        <rFont val="Times New Roman"/>
        <family val="1"/>
      </rPr>
      <t>“</t>
    </r>
    <r>
      <rPr>
        <sz val="10.5"/>
        <color theme="1"/>
        <rFont val="宋体"/>
        <family val="3"/>
        <charset val="134"/>
      </rPr>
      <t>严重</t>
    </r>
    <r>
      <rPr>
        <sz val="10.5"/>
        <color theme="1"/>
        <rFont val="Times New Roman"/>
        <family val="1"/>
      </rPr>
      <t>”</t>
    </r>
    <r>
      <rPr>
        <sz val="10.5"/>
        <color theme="1"/>
        <rFont val="宋体"/>
        <family val="3"/>
        <charset val="134"/>
      </rPr>
      <t>指破损长度大于该缝长度</t>
    </r>
    <r>
      <rPr>
        <sz val="10.5"/>
        <color theme="1"/>
        <rFont val="Times New Roman"/>
        <family val="1"/>
      </rPr>
      <t>10%</t>
    </r>
    <r>
      <rPr>
        <sz val="10.5"/>
        <color theme="1"/>
        <rFont val="宋体"/>
        <family val="3"/>
        <charset val="134"/>
      </rPr>
      <t>或橡胶构件变硬几乎失去弹性</t>
    </r>
    <phoneticPr fontId="1" type="noConversion"/>
  </si>
  <si>
    <t>钢材料破损</t>
    <phoneticPr fontId="1" type="noConversion"/>
  </si>
  <si>
    <t>型钢、梳齿板断裂、残缺</t>
    <phoneticPr fontId="1" type="noConversion"/>
  </si>
  <si>
    <r>
      <t>“</t>
    </r>
    <r>
      <rPr>
        <sz val="10.5"/>
        <color theme="1"/>
        <rFont val="宋体"/>
        <family val="3"/>
        <charset val="134"/>
      </rPr>
      <t>无</t>
    </r>
    <r>
      <rPr>
        <sz val="10.5"/>
        <color theme="1"/>
        <rFont val="Times New Roman"/>
        <family val="1"/>
      </rPr>
      <t>”</t>
    </r>
    <r>
      <rPr>
        <sz val="10.5"/>
        <color theme="1"/>
        <rFont val="宋体"/>
        <family val="3"/>
        <charset val="134"/>
      </rPr>
      <t>指伸缩缝钢材料没有破损；</t>
    </r>
    <r>
      <rPr>
        <sz val="10.5"/>
        <color theme="1"/>
        <rFont val="Times New Roman"/>
        <family val="1"/>
      </rPr>
      <t>“</t>
    </r>
    <r>
      <rPr>
        <sz val="10.5"/>
        <color theme="1"/>
        <rFont val="宋体"/>
        <family val="3"/>
        <charset val="134"/>
      </rPr>
      <t>轻微</t>
    </r>
    <r>
      <rPr>
        <sz val="10.5"/>
        <color theme="1"/>
        <rFont val="Times New Roman"/>
        <family val="1"/>
      </rPr>
      <t>”</t>
    </r>
    <r>
      <rPr>
        <sz val="10.5"/>
        <color theme="1"/>
        <rFont val="宋体"/>
        <family val="3"/>
        <charset val="134"/>
      </rPr>
      <t>指钢材料断裂；</t>
    </r>
    <r>
      <rPr>
        <sz val="10.5"/>
        <color theme="1"/>
        <rFont val="Times New Roman"/>
        <family val="1"/>
      </rPr>
      <t>“</t>
    </r>
    <r>
      <rPr>
        <sz val="10.5"/>
        <color theme="1"/>
        <rFont val="宋体"/>
        <family val="3"/>
        <charset val="134"/>
      </rPr>
      <t>严重</t>
    </r>
    <r>
      <rPr>
        <sz val="10.5"/>
        <color theme="1"/>
        <rFont val="Times New Roman"/>
        <family val="1"/>
      </rPr>
      <t>”</t>
    </r>
    <r>
      <rPr>
        <sz val="10.5"/>
        <color theme="1"/>
        <rFont val="宋体"/>
        <family val="3"/>
        <charset val="134"/>
      </rPr>
      <t>指钢材料残缺</t>
    </r>
    <phoneticPr fontId="1" type="noConversion"/>
  </si>
  <si>
    <t>松动或变形</t>
    <phoneticPr fontId="1" type="noConversion"/>
  </si>
  <si>
    <t>人行道块件出现松动、脱空、下陷或者拱起</t>
    <phoneticPr fontId="1" type="noConversion"/>
  </si>
  <si>
    <t>梁体位移</t>
    <phoneticPr fontId="1" type="noConversion"/>
  </si>
  <si>
    <t>表面裂缝</t>
    <phoneticPr fontId="1" type="noConversion"/>
  </si>
  <si>
    <t>梁表面出现细微、不规则裂缝</t>
    <phoneticPr fontId="1" type="noConversion"/>
  </si>
  <si>
    <t>梁体出现水平偏移和转动</t>
    <phoneticPr fontId="1" type="noConversion"/>
  </si>
  <si>
    <t>明显</t>
    <phoneticPr fontId="1" type="noConversion"/>
  </si>
  <si>
    <t>严重</t>
    <phoneticPr fontId="1" type="noConversion"/>
  </si>
  <si>
    <t>*</t>
    <phoneticPr fontId="1" type="noConversion"/>
  </si>
  <si>
    <t>连接件脱焊松动</t>
  </si>
  <si>
    <t>连接件从焊接处脱落而产生松动</t>
  </si>
  <si>
    <t>连接件断裂</t>
  </si>
  <si>
    <t>连接件出现断裂</t>
  </si>
  <si>
    <t>横隔板网裂</t>
    <phoneticPr fontId="1" type="noConversion"/>
  </si>
  <si>
    <t>横隔板表面网状裂缝</t>
    <phoneticPr fontId="1" type="noConversion"/>
  </si>
  <si>
    <t>钢锚板</t>
    <phoneticPr fontId="1" type="noConversion"/>
  </si>
  <si>
    <t>混凝土剥离</t>
    <phoneticPr fontId="1" type="noConversion"/>
  </si>
  <si>
    <t>框架式节点裂缝</t>
    <phoneticPr fontId="1" type="noConversion"/>
  </si>
  <si>
    <t>墩台身上框架式的节点开裂</t>
    <phoneticPr fontId="1" type="noConversion"/>
  </si>
  <si>
    <t>漏筋锈蚀</t>
    <phoneticPr fontId="1" type="noConversion"/>
  </si>
  <si>
    <t>墩台身表面混凝土脱落后漏出内嵌的钢筋并且钢筋产生锈蚀</t>
    <phoneticPr fontId="1" type="noConversion"/>
  </si>
  <si>
    <t>&lt;1%</t>
    <phoneticPr fontId="1" type="noConversion"/>
  </si>
  <si>
    <t>1%~2%</t>
    <phoneticPr fontId="1" type="noConversion"/>
  </si>
  <si>
    <t>&gt;2%</t>
    <phoneticPr fontId="1" type="noConversion"/>
  </si>
  <si>
    <t>混凝土剥离</t>
    <phoneticPr fontId="1" type="noConversion"/>
  </si>
  <si>
    <t>墩台身表面混凝土破裂脱落</t>
    <phoneticPr fontId="1" type="noConversion"/>
  </si>
  <si>
    <t>桥墩倾斜</t>
    <phoneticPr fontId="1" type="noConversion"/>
  </si>
  <si>
    <t>桥墩的垂直状态</t>
    <phoneticPr fontId="1" type="noConversion"/>
  </si>
  <si>
    <t>无</t>
    <phoneticPr fontId="1" type="noConversion"/>
  </si>
  <si>
    <t>轻微</t>
    <phoneticPr fontId="1" type="noConversion"/>
  </si>
  <si>
    <t>严重</t>
    <phoneticPr fontId="1" type="noConversion"/>
  </si>
  <si>
    <t>支座固定螺栓损坏</t>
    <phoneticPr fontId="1" type="noConversion"/>
  </si>
  <si>
    <t>用于固定支座的螺栓损坏、松动</t>
    <phoneticPr fontId="1" type="noConversion"/>
  </si>
  <si>
    <t>程度</t>
    <phoneticPr fontId="1" type="noConversion"/>
  </si>
  <si>
    <t>橡胶材料类支座变形、开裂</t>
    <phoneticPr fontId="1" type="noConversion"/>
  </si>
  <si>
    <t>橡胶支座变形</t>
    <phoneticPr fontId="1" type="noConversion"/>
  </si>
  <si>
    <t>钢支座损坏</t>
    <phoneticPr fontId="1" type="noConversion"/>
  </si>
  <si>
    <t>钢材料类支座松动、锈蚀</t>
    <phoneticPr fontId="1" type="noConversion"/>
  </si>
  <si>
    <t>支座底板混凝土破损</t>
    <phoneticPr fontId="1" type="noConversion"/>
  </si>
  <si>
    <t>支承稳定性异常</t>
    <phoneticPr fontId="1" type="noConversion"/>
  </si>
  <si>
    <t>钢垫板锈蚀</t>
    <phoneticPr fontId="1" type="noConversion"/>
  </si>
  <si>
    <t>支座上下垫板锈蚀</t>
    <phoneticPr fontId="1" type="noConversion"/>
  </si>
  <si>
    <t>完好</t>
    <phoneticPr fontId="1" type="noConversion"/>
  </si>
  <si>
    <t>混凝土桩损坏</t>
    <phoneticPr fontId="1" type="noConversion"/>
  </si>
  <si>
    <t>坑洞</t>
    <phoneticPr fontId="1" type="noConversion"/>
  </si>
  <si>
    <t>台背下沉</t>
    <phoneticPr fontId="1" type="noConversion"/>
  </si>
  <si>
    <t>台背下沉</t>
    <phoneticPr fontId="1" type="noConversion"/>
  </si>
  <si>
    <t>止水带破损老化</t>
    <phoneticPr fontId="1" type="noConversion"/>
  </si>
  <si>
    <t>钢材料破损</t>
    <phoneticPr fontId="1" type="noConversion"/>
  </si>
  <si>
    <t>结构缝宽异常</t>
    <phoneticPr fontId="1" type="noConversion"/>
  </si>
  <si>
    <r>
      <t>3%</t>
    </r>
    <r>
      <rPr>
        <sz val="9"/>
        <color theme="1"/>
        <rFont val="宋体"/>
        <family val="3"/>
        <charset val="134"/>
      </rPr>
      <t>～10%</t>
    </r>
  </si>
  <si>
    <r>
      <t>1%</t>
    </r>
    <r>
      <rPr>
        <sz val="9"/>
        <color theme="1"/>
        <rFont val="宋体"/>
        <family val="3"/>
        <charset val="134"/>
      </rPr>
      <t>～2%</t>
    </r>
  </si>
  <si>
    <r>
      <t>5%</t>
    </r>
    <r>
      <rPr>
        <sz val="9"/>
        <color theme="1"/>
        <rFont val="宋体"/>
        <family val="3"/>
        <charset val="134"/>
      </rPr>
      <t>～10%</t>
    </r>
  </si>
  <si>
    <r>
      <t>锈蚀</t>
    </r>
    <r>
      <rPr>
        <sz val="9"/>
        <color theme="1"/>
        <rFont val="Times New Roman"/>
        <family val="1"/>
      </rPr>
      <t xml:space="preserve">  </t>
    </r>
    <r>
      <rPr>
        <sz val="9"/>
        <color theme="1"/>
        <rFont val="宋体"/>
        <family val="3"/>
        <charset val="134"/>
      </rPr>
      <t>且削</t>
    </r>
    <r>
      <rPr>
        <sz val="9"/>
        <color theme="1"/>
        <rFont val="Times New Roman"/>
        <family val="1"/>
      </rPr>
      <t xml:space="preserve">  </t>
    </r>
    <r>
      <rPr>
        <sz val="9"/>
        <color theme="1"/>
        <rFont val="宋体"/>
        <family val="3"/>
        <charset val="134"/>
      </rPr>
      <t>弱截面</t>
    </r>
  </si>
  <si>
    <r>
      <t>PC</t>
    </r>
    <r>
      <rPr>
        <sz val="9"/>
        <color theme="1"/>
        <rFont val="宋体"/>
        <family val="3"/>
        <charset val="134"/>
      </rPr>
      <t>或</t>
    </r>
    <r>
      <rPr>
        <sz val="9"/>
        <color theme="1"/>
        <rFont val="Times New Roman"/>
        <family val="1"/>
      </rPr>
      <t>RC</t>
    </r>
    <r>
      <rPr>
        <sz val="9"/>
        <color theme="1"/>
        <rFont val="宋体"/>
        <family val="3"/>
        <charset val="134"/>
      </rPr>
      <t>梁式构件</t>
    </r>
    <phoneticPr fontId="1" type="noConversion"/>
  </si>
  <si>
    <t>SDPij</t>
  </si>
  <si>
    <t>ωij</t>
  </si>
  <si>
    <t>100-SDPij</t>
  </si>
  <si>
    <t>桥跨编号</t>
    <phoneticPr fontId="1" type="noConversion"/>
  </si>
  <si>
    <r>
      <t>å</t>
    </r>
    <r>
      <rPr>
        <sz val="10.5"/>
        <color theme="1"/>
        <rFont val="Times New Roman"/>
        <family val="1"/>
      </rPr>
      <t>DPijk</t>
    </r>
    <phoneticPr fontId="1" type="noConversion"/>
  </si>
  <si>
    <t>主梁</t>
    <phoneticPr fontId="1" type="noConversion"/>
  </si>
  <si>
    <t>横向联系</t>
    <phoneticPr fontId="1" type="noConversion"/>
  </si>
  <si>
    <r>
      <t>上部结构各单项</t>
    </r>
    <r>
      <rPr>
        <b/>
        <i/>
        <sz val="16"/>
        <color rgb="FFFF0000"/>
        <rFont val="宋体"/>
        <family val="3"/>
        <charset val="134"/>
        <scheme val="minor"/>
      </rPr>
      <t>BCI</t>
    </r>
    <r>
      <rPr>
        <sz val="8"/>
        <color rgb="FFFF0000"/>
        <rFont val="宋体"/>
        <family val="3"/>
        <charset val="134"/>
        <scheme val="minor"/>
      </rPr>
      <t>i</t>
    </r>
    <r>
      <rPr>
        <sz val="16"/>
        <color rgb="FFFF0000"/>
        <rFont val="宋体"/>
        <family val="2"/>
        <scheme val="minor"/>
      </rPr>
      <t>计算</t>
    </r>
    <phoneticPr fontId="1" type="noConversion"/>
  </si>
  <si>
    <t>SDPjk</t>
  </si>
  <si>
    <t>ωjk</t>
  </si>
  <si>
    <t>100-SDPjk</t>
  </si>
  <si>
    <t>耳背翼墙</t>
  </si>
  <si>
    <r>
      <t>å</t>
    </r>
    <r>
      <rPr>
        <sz val="10.5"/>
        <color theme="1"/>
        <rFont val="Times New Roman"/>
        <family val="1"/>
      </rPr>
      <t>DPjkl</t>
    </r>
    <phoneticPr fontId="1" type="noConversion"/>
  </si>
  <si>
    <t>墩台编号</t>
    <phoneticPr fontId="1" type="noConversion"/>
  </si>
  <si>
    <t>盖（帽）梁</t>
    <phoneticPr fontId="1" type="noConversion"/>
  </si>
  <si>
    <t>盖（帽）梁</t>
    <phoneticPr fontId="1" type="noConversion"/>
  </si>
  <si>
    <t>墩台身</t>
    <phoneticPr fontId="1" type="noConversion"/>
  </si>
  <si>
    <t>墩台身</t>
    <phoneticPr fontId="1" type="noConversion"/>
  </si>
  <si>
    <t>下部结构权重</t>
    <phoneticPr fontId="1" type="noConversion"/>
  </si>
  <si>
    <t>跨数</t>
    <phoneticPr fontId="1" type="noConversion"/>
  </si>
  <si>
    <t>墩台数</t>
    <phoneticPr fontId="1" type="noConversion"/>
  </si>
  <si>
    <t>基础</t>
    <phoneticPr fontId="1" type="noConversion"/>
  </si>
  <si>
    <t>桥跨编号</t>
    <phoneticPr fontId="1" type="noConversion"/>
  </si>
  <si>
    <t>构件类型</t>
    <phoneticPr fontId="1" type="noConversion"/>
  </si>
  <si>
    <r>
      <t>å</t>
    </r>
    <r>
      <rPr>
        <sz val="10.5"/>
        <color theme="1"/>
        <rFont val="Times New Roman"/>
        <family val="1"/>
      </rPr>
      <t>DPijk</t>
    </r>
    <phoneticPr fontId="1" type="noConversion"/>
  </si>
  <si>
    <t>BCIsi</t>
    <phoneticPr fontId="1" type="noConversion"/>
  </si>
  <si>
    <t>BCIs</t>
    <phoneticPr fontId="1" type="noConversion"/>
  </si>
  <si>
    <t>上部结构权重</t>
    <phoneticPr fontId="1" type="noConversion"/>
  </si>
  <si>
    <t>第1跨</t>
    <phoneticPr fontId="1" type="noConversion"/>
  </si>
  <si>
    <r>
      <t>上部结构</t>
    </r>
    <r>
      <rPr>
        <b/>
        <i/>
        <sz val="10"/>
        <color rgb="FFFF0000"/>
        <rFont val="宋体"/>
        <family val="3"/>
        <charset val="134"/>
        <scheme val="minor"/>
      </rPr>
      <t>BCI</t>
    </r>
    <r>
      <rPr>
        <i/>
        <sz val="10"/>
        <color rgb="FFFF0000"/>
        <rFont val="宋体"/>
        <family val="3"/>
        <charset val="134"/>
        <scheme val="minor"/>
      </rPr>
      <t>s</t>
    </r>
    <r>
      <rPr>
        <sz val="10"/>
        <color rgb="FFFF0000"/>
        <rFont val="宋体"/>
        <family val="3"/>
        <charset val="134"/>
        <scheme val="minor"/>
      </rPr>
      <t>值</t>
    </r>
    <phoneticPr fontId="1" type="noConversion"/>
  </si>
  <si>
    <r>
      <t>上部结构</t>
    </r>
    <r>
      <rPr>
        <b/>
        <i/>
        <sz val="10"/>
        <color rgb="FFFF0000"/>
        <rFont val="宋体"/>
        <family val="3"/>
        <charset val="134"/>
        <scheme val="minor"/>
      </rPr>
      <t>BSI</t>
    </r>
    <r>
      <rPr>
        <i/>
        <sz val="10"/>
        <color rgb="FFFF0000"/>
        <rFont val="宋体"/>
        <family val="3"/>
        <charset val="134"/>
        <scheme val="minor"/>
      </rPr>
      <t>s</t>
    </r>
    <r>
      <rPr>
        <sz val="10"/>
        <color rgb="FFFF0000"/>
        <rFont val="宋体"/>
        <family val="3"/>
        <charset val="134"/>
        <scheme val="minor"/>
      </rPr>
      <t>值</t>
    </r>
    <phoneticPr fontId="1" type="noConversion"/>
  </si>
  <si>
    <r>
      <t>权重</t>
    </r>
    <r>
      <rPr>
        <b/>
        <sz val="10"/>
        <color rgb="FFFF0000"/>
        <rFont val="宋体"/>
        <family val="3"/>
        <charset val="134"/>
        <scheme val="minor"/>
      </rPr>
      <t>ωi</t>
    </r>
    <phoneticPr fontId="1" type="noConversion"/>
  </si>
  <si>
    <t>桥面系技术状况评估</t>
  </si>
  <si>
    <t>评价要素</t>
  </si>
  <si>
    <r>
      <t>å</t>
    </r>
    <r>
      <rPr>
        <sz val="10.5"/>
        <color theme="1"/>
        <rFont val="Times New Roman"/>
        <family val="1"/>
      </rPr>
      <t>DPhi</t>
    </r>
  </si>
  <si>
    <t>MDPh</t>
  </si>
  <si>
    <t>ωh</t>
  </si>
  <si>
    <t>100-MDPh</t>
  </si>
  <si>
    <t>BCIm</t>
  </si>
  <si>
    <t>BSIm</t>
  </si>
  <si>
    <t>栏杆或护栏</t>
  </si>
  <si>
    <t>人行道</t>
    <phoneticPr fontId="1" type="noConversion"/>
  </si>
  <si>
    <t>全桥技术状况评估</t>
  </si>
  <si>
    <t>权重</t>
  </si>
  <si>
    <r>
      <t>部位</t>
    </r>
    <r>
      <rPr>
        <sz val="10.5"/>
        <color theme="1"/>
        <rFont val="Times New Roman"/>
        <family val="1"/>
      </rPr>
      <t>BCI</t>
    </r>
  </si>
  <si>
    <r>
      <t>结构</t>
    </r>
    <r>
      <rPr>
        <sz val="10.5"/>
        <color theme="1"/>
        <rFont val="Times New Roman"/>
        <family val="1"/>
      </rPr>
      <t>BSI</t>
    </r>
  </si>
  <si>
    <r>
      <t>全桥</t>
    </r>
    <r>
      <rPr>
        <sz val="10.5"/>
        <color theme="1"/>
        <rFont val="Times New Roman"/>
        <family val="1"/>
      </rPr>
      <t>BCI</t>
    </r>
  </si>
  <si>
    <t>桥面系</t>
  </si>
  <si>
    <t>上部结构</t>
  </si>
  <si>
    <t>下部结构</t>
  </si>
  <si>
    <r>
      <t>å</t>
    </r>
    <r>
      <rPr>
        <sz val="10.5"/>
        <color theme="1"/>
        <rFont val="Times New Roman"/>
        <family val="1"/>
      </rPr>
      <t>DPijk</t>
    </r>
    <phoneticPr fontId="1" type="noConversion"/>
  </si>
  <si>
    <t>第1跨</t>
    <phoneticPr fontId="1" type="noConversion"/>
  </si>
  <si>
    <t>第1跨</t>
    <phoneticPr fontId="1" type="noConversion"/>
  </si>
  <si>
    <r>
      <t>重新分配后权重</t>
    </r>
    <r>
      <rPr>
        <b/>
        <sz val="10"/>
        <color rgb="FFFF0000"/>
        <rFont val="宋体"/>
        <family val="3"/>
        <charset val="134"/>
        <scheme val="minor"/>
      </rPr>
      <t>ωi</t>
    </r>
    <phoneticPr fontId="1" type="noConversion"/>
  </si>
  <si>
    <t>台帽</t>
    <phoneticPr fontId="1" type="noConversion"/>
  </si>
  <si>
    <t>台身</t>
    <phoneticPr fontId="1" type="noConversion"/>
  </si>
  <si>
    <t>第2跨</t>
    <phoneticPr fontId="1" type="noConversion"/>
  </si>
  <si>
    <t>第3跨</t>
    <phoneticPr fontId="1" type="noConversion"/>
  </si>
  <si>
    <t>1#墩</t>
    <phoneticPr fontId="1" type="noConversion"/>
  </si>
  <si>
    <t>墩身</t>
    <phoneticPr fontId="1" type="noConversion"/>
  </si>
  <si>
    <t>1#墩</t>
    <phoneticPr fontId="1" type="noConversion"/>
  </si>
  <si>
    <t>2#墩</t>
    <phoneticPr fontId="1" type="noConversion"/>
  </si>
  <si>
    <t>3#台</t>
    <phoneticPr fontId="1" type="noConversion"/>
  </si>
  <si>
    <t>3#台</t>
    <phoneticPr fontId="1" type="noConversion"/>
  </si>
  <si>
    <t>墩身</t>
    <phoneticPr fontId="1" type="noConversion"/>
  </si>
  <si>
    <t>第2跨</t>
    <phoneticPr fontId="1" type="noConversion"/>
  </si>
  <si>
    <t>1#墩</t>
    <phoneticPr fontId="1" type="noConversion"/>
  </si>
  <si>
    <t>3#台</t>
    <phoneticPr fontId="1" type="noConversion"/>
  </si>
  <si>
    <t>盖梁</t>
    <phoneticPr fontId="1" type="noConversion"/>
  </si>
  <si>
    <t>盖梁</t>
    <phoneticPr fontId="1" type="noConversion"/>
  </si>
  <si>
    <t>2#墩</t>
    <phoneticPr fontId="1" type="noConversion"/>
  </si>
  <si>
    <t>SDPij</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</si>
</sst>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00_ "/>
    <numFmt numFmtId="177" formatCode="0.00_);[Red]\(0.00\)"/>
    <numFmt numFmtId="178" formatCode="0.0_ "/>
    <numFmt numFmtId="179" formatCode="0.000_ "/>
    <numFmt numFmtId="180" formatCode="0.0"/>
  </numFmts>
  <fonts count="38" x14ac:knownFonts="1">
    <font>
      <sz val="11"/>
      <color theme="1"/>
      <name val="宋体"/>
      <family val="2"/>
      <scheme val="minor"/>
    </font>
    <font>
      <sz val="9"/>
      <name val="宋体"/>
      <family val="3"/>
      <charset val="134"/>
      <scheme val="minor"/>
    </font>
    <font>
      <sz val="10.5"/>
      <color theme="1"/>
      <name val="Times New Roman"/>
      <family val="1"/>
    </font>
    <font>
      <sz val="10.5"/>
      <color theme="1"/>
      <name val="宋体"/>
      <family val="3"/>
      <charset val="134"/>
    </font>
    <font>
      <sz val="9"/>
      <color theme="1"/>
      <name val="Times New Roman"/>
      <family val="1"/>
    </font>
    <font>
      <sz val="9"/>
      <color theme="1"/>
      <name val="宋体"/>
      <family val="3"/>
      <charset val="134"/>
    </font>
    <font>
      <b/>
      <sz val="20"/>
      <color theme="1"/>
      <name val="宋体"/>
      <family val="3"/>
      <charset val="134"/>
      <scheme val="minor"/>
    </font>
    <font>
      <sz val="16"/>
      <color rgb="FFFF0000"/>
      <name val="宋体"/>
      <family val="2"/>
      <scheme val="minor"/>
    </font>
    <font>
      <sz val="16"/>
      <color rgb="FFFF0000"/>
      <name val="宋体"/>
      <family val="3"/>
      <charset val="134"/>
      <scheme val="minor"/>
    </font>
    <font>
      <sz val="8"/>
      <color theme="1"/>
      <name val="宋体"/>
      <family val="3"/>
      <charset val="134"/>
      <scheme val="minor"/>
    </font>
    <font>
      <b/>
      <sz val="14"/>
      <color theme="1"/>
      <name val="宋体"/>
      <family val="3"/>
      <charset val="134"/>
      <scheme val="minor"/>
    </font>
    <font>
      <b/>
      <sz val="12"/>
      <color theme="1"/>
      <name val="宋体"/>
      <family val="3"/>
      <charset val="134"/>
      <scheme val="minor"/>
    </font>
    <font>
      <sz val="11"/>
      <color theme="1"/>
      <name val="宋体"/>
      <family val="3"/>
      <charset val="134"/>
      <scheme val="minor"/>
    </font>
    <font>
      <sz val="8"/>
      <color rgb="FFFF0000"/>
      <name val="宋体"/>
      <family val="3"/>
      <charset val="134"/>
      <scheme val="minor"/>
    </font>
    <font>
      <b/>
      <i/>
      <sz val="16"/>
      <color rgb="FFFF0000"/>
      <name val="宋体"/>
      <family val="3"/>
      <charset val="134"/>
      <scheme val="minor"/>
    </font>
    <font>
      <sz val="10"/>
      <color theme="1"/>
      <name val="宋体"/>
      <family val="3"/>
      <charset val="134"/>
    </font>
    <font>
      <sz val="10"/>
      <color theme="1"/>
      <name val="宋体"/>
      <family val="3"/>
      <charset val="134"/>
      <scheme val="minor"/>
    </font>
    <font>
      <vertAlign val="superscript"/>
      <sz val="8"/>
      <color theme="1"/>
      <name val="宋体"/>
      <family val="3"/>
      <charset val="134"/>
      <scheme val="minor"/>
    </font>
    <font>
      <sz val="10"/>
      <color theme="1"/>
      <name val="宋体"/>
      <family val="2"/>
      <scheme val="minor"/>
    </font>
    <font>
      <b/>
      <sz val="10"/>
      <color theme="1"/>
      <name val="宋体"/>
      <family val="3"/>
      <charset val="134"/>
      <scheme val="minor"/>
    </font>
    <font>
      <b/>
      <sz val="10"/>
      <color rgb="FFFFFFFF"/>
      <name val="Arial"/>
      <family val="2"/>
    </font>
    <font>
      <sz val="10"/>
      <color rgb="FF000000"/>
      <name val="华文细黑"/>
      <family val="3"/>
      <charset val="134"/>
    </font>
    <font>
      <sz val="10"/>
      <color rgb="FF000000"/>
      <name val="Arial"/>
      <family val="2"/>
    </font>
    <font>
      <b/>
      <sz val="10"/>
      <color rgb="FFFF0000"/>
      <name val="宋体"/>
      <family val="3"/>
      <charset val="134"/>
      <scheme val="minor"/>
    </font>
    <font>
      <b/>
      <i/>
      <sz val="10"/>
      <color rgb="FFFF0000"/>
      <name val="宋体"/>
      <family val="3"/>
      <charset val="134"/>
      <scheme val="minor"/>
    </font>
    <font>
      <i/>
      <sz val="10"/>
      <color rgb="FFFF0000"/>
      <name val="宋体"/>
      <family val="3"/>
      <charset val="134"/>
      <scheme val="minor"/>
    </font>
    <font>
      <sz val="10"/>
      <color rgb="FFFF0000"/>
      <name val="宋体"/>
      <family val="3"/>
      <charset val="134"/>
      <scheme val="minor"/>
    </font>
    <font>
      <b/>
      <sz val="10"/>
      <color rgb="FFFFFFFF"/>
      <name val="宋体"/>
      <family val="3"/>
      <charset val="134"/>
    </font>
    <font>
      <sz val="9"/>
      <color theme="1"/>
      <name val="宋体"/>
      <family val="2"/>
      <scheme val="minor"/>
    </font>
    <font>
      <b/>
      <sz val="11"/>
      <color theme="1"/>
      <name val="宋体"/>
      <family val="2"/>
      <scheme val="minor"/>
    </font>
    <font>
      <sz val="9"/>
      <color theme="1"/>
      <name val="宋体"/>
      <family val="3"/>
      <charset val="134"/>
      <scheme val="minor"/>
    </font>
    <font>
      <sz val="14"/>
      <color theme="1"/>
      <name val="Symbol"/>
      <family val="1"/>
      <charset val="2"/>
    </font>
    <font>
      <sz val="12"/>
      <color theme="1"/>
      <name val="宋体"/>
      <family val="3"/>
      <charset val="134"/>
      <scheme val="minor"/>
    </font>
    <font>
      <sz val="11"/>
      <color theme="1"/>
      <name val="宋体"/>
      <family val="3"/>
      <charset val="134"/>
    </font>
    <font>
      <b/>
      <sz val="11"/>
      <color rgb="FFFF0000"/>
      <name val="宋体"/>
      <family val="3"/>
      <charset val="134"/>
      <scheme val="minor"/>
    </font>
    <font>
      <sz val="12"/>
      <color rgb="FFFF0000"/>
      <name val="宋体"/>
      <family val="3"/>
      <charset val="134"/>
    </font>
    <font>
      <sz val="11"/>
      <color rgb="FFFF0000"/>
      <name val="宋体"/>
      <family val="3"/>
      <charset val="134"/>
    </font>
    <font>
      <b/>
      <sz val="12"/>
      <color indexed="81"/>
      <name val="宋体"/>
      <family val="3"/>
      <charset val="134"/>
    </font>
  </fonts>
  <fills count="7">
    <fill>
      <patternFill patternType="none"/>
    </fill>
    <fill>
      <patternFill patternType="gray125"/>
    </fill>
    <fill>
      <patternFill patternType="solid">
        <fgColor rgb="FF6FC01E"/>
        <bgColor indexed="64"/>
      </patternFill>
    </fill>
    <fill>
      <patternFill patternType="solid">
        <fgColor rgb="FFD5E8CC"/>
        <bgColor indexed="64"/>
      </patternFill>
    </fill>
    <fill>
      <patternFill patternType="solid">
        <fgColor rgb="FFFFFF00"/>
        <bgColor indexed="64"/>
      </patternFill>
    </fill>
    <fill>
      <patternFill patternType="solid">
        <fgColor theme="9" tint="0.59999389629810485"/>
        <bgColor indexed="64"/>
      </patternFill>
    </fill>
    <fill>
      <patternFill patternType="solid">
        <fgColor theme="0"/>
        <bgColor indexed="64"/>
      </patternFill>
    </fill>
  </fills>
  <borders count="35">
    <border>
      <left/>
      <right/>
      <top/>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thick">
        <color rgb="FFFFFFFF"/>
      </top>
      <bottom style="medium">
        <color rgb="FFFFFFFF"/>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right/>
      <top/>
      <bottom style="medium">
        <color rgb="FFFFFFFF"/>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style="thin">
        <color indexed="64"/>
      </left>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top style="thick">
        <color indexed="64"/>
      </top>
      <bottom style="medium">
        <color rgb="FF000000"/>
      </bottom>
      <diagonal/>
    </border>
    <border>
      <left/>
      <right/>
      <top style="thick">
        <color indexed="64"/>
      </top>
      <bottom style="medium">
        <color rgb="FF000000"/>
      </bottom>
      <diagonal/>
    </border>
    <border>
      <left/>
      <right style="thick">
        <color indexed="64"/>
      </right>
      <top style="thick">
        <color indexed="64"/>
      </top>
      <bottom style="medium">
        <color rgb="FF000000"/>
      </bottom>
      <diagonal/>
    </border>
    <border>
      <left style="thick">
        <color indexed="64"/>
      </left>
      <right style="medium">
        <color rgb="FF000000"/>
      </right>
      <top/>
      <bottom style="medium">
        <color rgb="FF000000"/>
      </bottom>
      <diagonal/>
    </border>
    <border>
      <left/>
      <right style="medium">
        <color rgb="FF000000"/>
      </right>
      <top/>
      <bottom style="medium">
        <color rgb="FF000000"/>
      </bottom>
      <diagonal/>
    </border>
    <border>
      <left/>
      <right style="thick">
        <color indexed="64"/>
      </right>
      <top/>
      <bottom style="medium">
        <color rgb="FF000000"/>
      </bottom>
      <diagonal/>
    </border>
    <border>
      <left style="medium">
        <color rgb="FF000000"/>
      </left>
      <right style="thick">
        <color indexed="64"/>
      </right>
      <top style="medium">
        <color rgb="FF000000"/>
      </top>
      <bottom/>
      <diagonal/>
    </border>
    <border>
      <left style="medium">
        <color rgb="FF000000"/>
      </left>
      <right style="thick">
        <color indexed="64"/>
      </right>
      <top/>
      <bottom/>
      <diagonal/>
    </border>
    <border>
      <left style="medium">
        <color rgb="FF000000"/>
      </left>
      <right style="thick">
        <color indexed="64"/>
      </right>
      <top/>
      <bottom style="medium">
        <color rgb="FF000000"/>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1">
    <xf numFmtId="0" fontId="0" fillId="0" borderId="0"/>
  </cellStyleXfs>
  <cellXfs count="189">
    <xf numFmtId="0" fontId="0" fillId="0" borderId="0" xfId="0"/>
    <xf numFmtId="0" fontId="0" fillId="0" borderId="3" xfId="0" applyBorder="1" applyAlignment="1">
      <alignment horizontal="center"/>
    </xf>
    <xf numFmtId="0" fontId="0" fillId="0" borderId="3" xfId="0" applyBorder="1" applyAlignment="1">
      <alignment horizontal="center" vertical="center"/>
    </xf>
    <xf numFmtId="0" fontId="0" fillId="0" borderId="3" xfId="0" applyBorder="1" applyAlignment="1">
      <alignment vertical="center"/>
    </xf>
    <xf numFmtId="0" fontId="3" fillId="0" borderId="3" xfId="0" applyFont="1" applyBorder="1" applyAlignment="1">
      <alignment horizontal="center" vertical="center" wrapText="1"/>
    </xf>
    <xf numFmtId="0" fontId="2" fillId="0" borderId="3" xfId="0" applyFont="1" applyBorder="1" applyAlignment="1">
      <alignment horizontal="center" vertical="center" wrapText="1"/>
    </xf>
    <xf numFmtId="0" fontId="3" fillId="0" borderId="3" xfId="0" applyFont="1" applyBorder="1" applyAlignment="1">
      <alignment horizontal="justify" vertical="center" wrapText="1"/>
    </xf>
    <xf numFmtId="0" fontId="3" fillId="0" borderId="5" xfId="0" applyFont="1" applyBorder="1" applyAlignment="1">
      <alignment horizontal="center" vertical="center" wrapText="1"/>
    </xf>
    <xf numFmtId="0" fontId="2" fillId="4" borderId="3" xfId="0" applyFont="1" applyFill="1" applyBorder="1" applyAlignment="1">
      <alignment horizontal="center" vertical="center" wrapText="1"/>
    </xf>
    <xf numFmtId="0" fontId="12" fillId="0" borderId="3" xfId="0" applyFont="1" applyBorder="1" applyAlignment="1">
      <alignment horizontal="center" vertical="center"/>
    </xf>
    <xf numFmtId="0" fontId="0" fillId="0" borderId="0" xfId="0" applyAlignment="1">
      <alignment horizontal="center" vertical="center"/>
    </xf>
    <xf numFmtId="0" fontId="0" fillId="0" borderId="3" xfId="0" applyBorder="1" applyAlignment="1">
      <alignment horizontal="center" vertical="center" wrapText="1"/>
    </xf>
    <xf numFmtId="0" fontId="0" fillId="0" borderId="0" xfId="0" applyAlignment="1">
      <alignment horizontal="center" vertical="center" wrapText="1"/>
    </xf>
    <xf numFmtId="0" fontId="16" fillId="0" borderId="0" xfId="0" applyFont="1"/>
    <xf numFmtId="0" fontId="0" fillId="0" borderId="3" xfId="0" applyBorder="1" applyAlignment="1">
      <alignment horizontal="center" vertical="center"/>
    </xf>
    <xf numFmtId="0" fontId="16" fillId="0" borderId="0" xfId="0" applyFont="1" applyBorder="1"/>
    <xf numFmtId="0" fontId="18" fillId="0" borderId="0" xfId="0" applyFont="1"/>
    <xf numFmtId="0" fontId="20" fillId="2" borderId="1" xfId="0" applyFont="1" applyFill="1" applyBorder="1" applyAlignment="1">
      <alignment horizontal="center" vertical="center" wrapText="1" readingOrder="1"/>
    </xf>
    <xf numFmtId="0" fontId="21" fillId="3" borderId="2" xfId="0" applyFont="1" applyFill="1" applyBorder="1" applyAlignment="1">
      <alignment horizontal="center" vertical="center" wrapText="1" readingOrder="1"/>
    </xf>
    <xf numFmtId="0" fontId="22" fillId="3" borderId="2" xfId="0" applyFont="1" applyFill="1" applyBorder="1" applyAlignment="1">
      <alignment horizontal="center" vertical="center" wrapText="1" readingOrder="1"/>
    </xf>
    <xf numFmtId="0" fontId="21" fillId="0" borderId="0" xfId="0" applyFont="1" applyFill="1" applyBorder="1" applyAlignment="1">
      <alignment horizontal="center" vertical="center" wrapText="1" readingOrder="1"/>
    </xf>
    <xf numFmtId="0" fontId="22" fillId="0" borderId="0" xfId="0" applyFont="1" applyFill="1" applyBorder="1" applyAlignment="1">
      <alignment horizontal="center" vertical="center" wrapText="1" readingOrder="1"/>
    </xf>
    <xf numFmtId="0" fontId="16" fillId="0" borderId="3" xfId="0" applyFont="1" applyBorder="1" applyAlignment="1">
      <alignment horizontal="center" vertical="center"/>
    </xf>
    <xf numFmtId="0" fontId="19" fillId="0" borderId="3" xfId="0" applyFont="1" applyBorder="1" applyAlignment="1">
      <alignment horizontal="center" vertical="center"/>
    </xf>
    <xf numFmtId="176" fontId="16" fillId="5" borderId="3" xfId="0" applyNumberFormat="1" applyFont="1" applyFill="1" applyBorder="1" applyAlignment="1">
      <alignment horizontal="center" vertical="center"/>
    </xf>
    <xf numFmtId="176" fontId="16" fillId="0" borderId="3" xfId="0" applyNumberFormat="1" applyFont="1" applyBorder="1" applyAlignment="1">
      <alignment horizontal="center" vertical="center"/>
    </xf>
    <xf numFmtId="0" fontId="16" fillId="0" borderId="0" xfId="0" applyFont="1" applyBorder="1" applyAlignment="1">
      <alignment horizontal="center" vertical="center"/>
    </xf>
    <xf numFmtId="0" fontId="16" fillId="0" borderId="0" xfId="0" applyFont="1" applyFill="1" applyBorder="1" applyAlignment="1">
      <alignment horizontal="center" vertical="center"/>
    </xf>
    <xf numFmtId="0" fontId="3" fillId="0" borderId="3" xfId="0" applyFont="1" applyBorder="1" applyAlignment="1">
      <alignment horizontal="center" vertical="center" wrapText="1"/>
    </xf>
    <xf numFmtId="0" fontId="2" fillId="0" borderId="3" xfId="0" applyFont="1" applyBorder="1" applyAlignment="1">
      <alignment horizontal="center" vertical="center" wrapText="1"/>
    </xf>
    <xf numFmtId="0" fontId="0" fillId="0" borderId="0" xfId="0" applyAlignment="1">
      <alignment horizontal="center"/>
    </xf>
    <xf numFmtId="0" fontId="3" fillId="0" borderId="5" xfId="0" applyFont="1" applyBorder="1" applyAlignment="1">
      <alignment horizontal="center" vertical="center" wrapText="1"/>
    </xf>
    <xf numFmtId="0" fontId="3" fillId="0" borderId="3" xfId="0" applyFont="1" applyBorder="1" applyAlignment="1">
      <alignment horizontal="center" vertical="center" wrapText="1"/>
    </xf>
    <xf numFmtId="0" fontId="2" fillId="0" borderId="3" xfId="0" applyFont="1" applyBorder="1" applyAlignment="1">
      <alignment horizontal="center" vertical="center" wrapText="1"/>
    </xf>
    <xf numFmtId="0" fontId="5" fillId="0" borderId="3" xfId="0" applyFont="1" applyBorder="1" applyAlignment="1">
      <alignment horizontal="center" vertical="center" wrapText="1"/>
    </xf>
    <xf numFmtId="0" fontId="5" fillId="0" borderId="3" xfId="0" applyFont="1" applyBorder="1" applyAlignment="1">
      <alignment horizontal="justify" vertical="center" wrapText="1"/>
    </xf>
    <xf numFmtId="0" fontId="28" fillId="0" borderId="5" xfId="0" applyFont="1" applyBorder="1" applyAlignment="1">
      <alignment horizontal="center"/>
    </xf>
    <xf numFmtId="0" fontId="4" fillId="0" borderId="3" xfId="0" applyFont="1" applyBorder="1" applyAlignment="1">
      <alignment horizontal="center" vertical="center" wrapText="1"/>
    </xf>
    <xf numFmtId="0" fontId="4" fillId="4" borderId="3" xfId="0" applyFont="1" applyFill="1" applyBorder="1" applyAlignment="1">
      <alignment horizontal="center" vertical="center" wrapText="1"/>
    </xf>
    <xf numFmtId="0" fontId="0" fillId="0" borderId="0" xfId="0" applyFont="1"/>
    <xf numFmtId="0" fontId="29" fillId="0" borderId="4" xfId="0" applyFont="1" applyBorder="1" applyAlignment="1">
      <alignment vertical="center"/>
    </xf>
    <xf numFmtId="0" fontId="30" fillId="0" borderId="0" xfId="0" applyFont="1"/>
    <xf numFmtId="178" fontId="0" fillId="4" borderId="3" xfId="0" applyNumberFormat="1" applyFill="1" applyBorder="1" applyAlignment="1">
      <alignment horizontal="center" vertical="center"/>
    </xf>
    <xf numFmtId="0" fontId="0" fillId="0" borderId="3" xfId="0" applyBorder="1" applyAlignment="1">
      <alignment horizontal="center" vertical="center"/>
    </xf>
    <xf numFmtId="0" fontId="0" fillId="0" borderId="0" xfId="0" applyAlignment="1">
      <alignment horizontal="center" vertical="center"/>
    </xf>
    <xf numFmtId="0" fontId="31" fillId="0" borderId="3" xfId="0" applyFont="1" applyBorder="1" applyAlignment="1">
      <alignment horizontal="center" vertical="center" wrapText="1"/>
    </xf>
    <xf numFmtId="0" fontId="29" fillId="0" borderId="3" xfId="0" applyFont="1" applyBorder="1" applyAlignment="1">
      <alignment vertical="center"/>
    </xf>
    <xf numFmtId="0" fontId="0" fillId="0" borderId="3" xfId="0" applyFont="1" applyBorder="1" applyAlignment="1">
      <alignment vertical="center"/>
    </xf>
    <xf numFmtId="0" fontId="30" fillId="0" borderId="0" xfId="0" applyFont="1" applyAlignment="1">
      <alignment horizontal="center" vertical="center"/>
    </xf>
    <xf numFmtId="0" fontId="16" fillId="0" borderId="3" xfId="0" applyFont="1" applyBorder="1" applyAlignment="1">
      <alignment horizontal="center" vertical="center"/>
    </xf>
    <xf numFmtId="0" fontId="11" fillId="0" borderId="4" xfId="0" applyFont="1" applyBorder="1" applyAlignment="1">
      <alignment vertical="center"/>
    </xf>
    <xf numFmtId="0" fontId="32" fillId="0" borderId="0" xfId="0" applyFont="1"/>
    <xf numFmtId="178" fontId="0" fillId="0" borderId="0" xfId="0" applyNumberFormat="1"/>
    <xf numFmtId="178" fontId="2" fillId="0" borderId="15" xfId="0" applyNumberFormat="1" applyFont="1" applyBorder="1" applyAlignment="1">
      <alignment horizontal="center" vertical="center" wrapText="1"/>
    </xf>
    <xf numFmtId="178" fontId="0" fillId="0" borderId="15" xfId="0" applyNumberFormat="1" applyBorder="1" applyAlignment="1">
      <alignment horizontal="center" vertical="center"/>
    </xf>
    <xf numFmtId="178" fontId="8" fillId="0" borderId="15" xfId="0" applyNumberFormat="1" applyFont="1" applyBorder="1" applyAlignment="1">
      <alignment horizontal="center" vertical="center"/>
    </xf>
    <xf numFmtId="178" fontId="34" fillId="0" borderId="15" xfId="0" applyNumberFormat="1" applyFont="1" applyBorder="1" applyAlignment="1">
      <alignment horizontal="center" vertical="center"/>
    </xf>
    <xf numFmtId="178" fontId="31" fillId="0" borderId="15" xfId="0" applyNumberFormat="1" applyFont="1" applyBorder="1" applyAlignment="1">
      <alignment horizontal="center" vertical="center" wrapText="1"/>
    </xf>
    <xf numFmtId="178" fontId="11" fillId="0" borderId="15" xfId="0" applyNumberFormat="1" applyFont="1" applyBorder="1" applyAlignment="1">
      <alignment horizontal="center" vertical="center"/>
    </xf>
    <xf numFmtId="0" fontId="34" fillId="0" borderId="3" xfId="0" applyFont="1" applyBorder="1" applyAlignment="1">
      <alignment vertical="center"/>
    </xf>
    <xf numFmtId="176" fontId="0" fillId="0" borderId="3" xfId="0" applyNumberFormat="1" applyBorder="1" applyAlignment="1">
      <alignment horizontal="center" vertical="center"/>
    </xf>
    <xf numFmtId="0" fontId="3" fillId="0" borderId="3" xfId="0" applyFont="1" applyBorder="1" applyAlignment="1">
      <alignment horizontal="center" vertical="center" wrapText="1"/>
    </xf>
    <xf numFmtId="178" fontId="16" fillId="0" borderId="0" xfId="0" applyNumberFormat="1" applyFont="1"/>
    <xf numFmtId="0" fontId="6" fillId="4" borderId="0" xfId="0" applyFont="1" applyFill="1" applyBorder="1" applyAlignment="1">
      <alignment horizontal="center" vertical="center"/>
    </xf>
    <xf numFmtId="0" fontId="7" fillId="0" borderId="0" xfId="0" applyFont="1" applyAlignment="1">
      <alignment horizontal="center" vertical="center"/>
    </xf>
    <xf numFmtId="0" fontId="11" fillId="0" borderId="0" xfId="0" applyFont="1" applyBorder="1" applyAlignment="1">
      <alignment vertical="center"/>
    </xf>
    <xf numFmtId="0" fontId="6" fillId="0" borderId="0" xfId="0" applyFont="1" applyFill="1" applyBorder="1" applyAlignment="1">
      <alignment horizontal="center" vertical="center"/>
    </xf>
    <xf numFmtId="0" fontId="3" fillId="0" borderId="3" xfId="0" applyFont="1" applyBorder="1" applyAlignment="1">
      <alignment horizontal="left" vertical="center"/>
    </xf>
    <xf numFmtId="0" fontId="2" fillId="0" borderId="3" xfId="0" applyFont="1" applyBorder="1" applyAlignment="1">
      <alignment horizontal="right" vertical="center" wrapText="1"/>
    </xf>
    <xf numFmtId="0" fontId="2" fillId="0" borderId="3" xfId="0" applyFont="1" applyBorder="1" applyAlignment="1">
      <alignment horizontal="left" vertical="center" wrapText="1"/>
    </xf>
    <xf numFmtId="0" fontId="33" fillId="0" borderId="3" xfId="0" applyFont="1" applyBorder="1" applyAlignment="1">
      <alignment horizontal="center" vertical="center" wrapText="1"/>
    </xf>
    <xf numFmtId="180" fontId="19" fillId="0" borderId="3" xfId="0" applyNumberFormat="1" applyFont="1" applyBorder="1" applyAlignment="1">
      <alignment horizontal="center" vertical="center"/>
    </xf>
    <xf numFmtId="0" fontId="23" fillId="0" borderId="0" xfId="0" applyFont="1" applyAlignment="1">
      <alignment horizontal="center" vertical="center" wrapText="1"/>
    </xf>
    <xf numFmtId="0" fontId="16" fillId="0" borderId="3" xfId="0" applyFont="1" applyBorder="1" applyAlignment="1">
      <alignment horizontal="center" vertical="center"/>
    </xf>
    <xf numFmtId="0" fontId="23" fillId="0" borderId="0" xfId="0" applyFont="1" applyBorder="1" applyAlignment="1">
      <alignment horizontal="center" vertical="center"/>
    </xf>
    <xf numFmtId="0" fontId="23" fillId="0" borderId="0" xfId="0" applyFont="1" applyBorder="1" applyAlignment="1">
      <alignment horizontal="center" vertical="center"/>
    </xf>
    <xf numFmtId="177" fontId="16" fillId="5" borderId="3" xfId="0" applyNumberFormat="1" applyFont="1" applyFill="1" applyBorder="1" applyAlignment="1">
      <alignment horizontal="center" vertical="center"/>
    </xf>
    <xf numFmtId="177" fontId="16" fillId="5" borderId="6" xfId="0" applyNumberFormat="1" applyFont="1" applyFill="1" applyBorder="1" applyAlignment="1">
      <alignment horizontal="center" vertical="center"/>
    </xf>
    <xf numFmtId="178" fontId="31" fillId="0" borderId="3" xfId="0" applyNumberFormat="1" applyFont="1" applyBorder="1" applyAlignment="1">
      <alignment horizontal="center" vertical="center" wrapText="1"/>
    </xf>
    <xf numFmtId="178" fontId="2" fillId="0" borderId="3" xfId="0" applyNumberFormat="1" applyFont="1" applyBorder="1" applyAlignment="1">
      <alignment horizontal="center" vertical="center" wrapText="1"/>
    </xf>
    <xf numFmtId="176" fontId="0" fillId="0" borderId="0" xfId="0" applyNumberFormat="1"/>
    <xf numFmtId="0" fontId="16" fillId="0" borderId="3" xfId="0" applyFont="1" applyBorder="1" applyAlignment="1">
      <alignment horizontal="center" vertical="center"/>
    </xf>
    <xf numFmtId="177" fontId="16" fillId="0" borderId="3" xfId="0" applyNumberFormat="1" applyFont="1" applyBorder="1" applyAlignment="1">
      <alignment horizontal="center" vertical="center"/>
    </xf>
    <xf numFmtId="0" fontId="19" fillId="0" borderId="0" xfId="0" applyFont="1" applyBorder="1" applyAlignment="1">
      <alignment horizontal="center" vertical="center"/>
    </xf>
    <xf numFmtId="177" fontId="16" fillId="0" borderId="0" xfId="0" applyNumberFormat="1" applyFont="1"/>
    <xf numFmtId="2" fontId="2" fillId="0" borderId="3" xfId="0" applyNumberFormat="1" applyFont="1" applyBorder="1" applyAlignment="1">
      <alignment horizontal="center" vertical="center" wrapText="1"/>
    </xf>
    <xf numFmtId="0" fontId="26" fillId="4" borderId="3" xfId="0" applyFont="1" applyFill="1" applyBorder="1" applyAlignment="1">
      <alignment horizontal="center" vertical="center"/>
    </xf>
    <xf numFmtId="176" fontId="23" fillId="4" borderId="3" xfId="0" applyNumberFormat="1" applyFont="1" applyFill="1" applyBorder="1" applyAlignment="1">
      <alignment horizontal="center" vertical="center"/>
    </xf>
    <xf numFmtId="0" fontId="23" fillId="0" borderId="0" xfId="0" applyFont="1" applyBorder="1" applyAlignment="1">
      <alignment horizontal="center" vertical="center"/>
    </xf>
    <xf numFmtId="0" fontId="16" fillId="0" borderId="3" xfId="0" applyFont="1" applyBorder="1" applyAlignment="1">
      <alignment horizontal="center" vertical="center"/>
    </xf>
    <xf numFmtId="0" fontId="3" fillId="0" borderId="18" xfId="0" applyFont="1" applyBorder="1" applyAlignment="1">
      <alignment horizontal="center" vertical="center" wrapText="1"/>
    </xf>
    <xf numFmtId="0" fontId="2" fillId="0" borderId="19" xfId="0" applyFont="1" applyBorder="1" applyAlignment="1">
      <alignment horizontal="center" vertical="center" wrapText="1"/>
    </xf>
    <xf numFmtId="179" fontId="2" fillId="0" borderId="3" xfId="0" applyNumberFormat="1" applyFont="1" applyBorder="1" applyAlignment="1">
      <alignment horizontal="center" vertical="center" wrapText="1"/>
    </xf>
    <xf numFmtId="0" fontId="3" fillId="0" borderId="20" xfId="0" applyFont="1" applyBorder="1" applyAlignment="1">
      <alignment horizontal="center" vertical="center" wrapText="1"/>
    </xf>
    <xf numFmtId="0" fontId="2" fillId="0" borderId="21" xfId="0" applyFont="1" applyBorder="1" applyAlignment="1">
      <alignment horizontal="center" vertical="center" wrapText="1"/>
    </xf>
    <xf numFmtId="179" fontId="2" fillId="0" borderId="21" xfId="0" applyNumberFormat="1" applyFont="1" applyBorder="1" applyAlignment="1">
      <alignment horizontal="center" vertical="center" wrapText="1"/>
    </xf>
    <xf numFmtId="176" fontId="2" fillId="0" borderId="3" xfId="0" applyNumberFormat="1" applyFont="1" applyBorder="1" applyAlignment="1">
      <alignment horizontal="center" vertical="center" wrapText="1"/>
    </xf>
    <xf numFmtId="177" fontId="2" fillId="0" borderId="3" xfId="0" applyNumberFormat="1" applyFont="1" applyBorder="1" applyAlignment="1">
      <alignment horizontal="center" vertical="center" wrapText="1"/>
    </xf>
    <xf numFmtId="177" fontId="2" fillId="0" borderId="21" xfId="0" applyNumberFormat="1" applyFont="1" applyBorder="1" applyAlignment="1">
      <alignment horizontal="center" vertical="center" wrapText="1"/>
    </xf>
    <xf numFmtId="176" fontId="2" fillId="0" borderId="21" xfId="0" applyNumberFormat="1" applyFont="1" applyBorder="1" applyAlignment="1">
      <alignment horizontal="center" vertical="center" wrapText="1"/>
    </xf>
    <xf numFmtId="0" fontId="3" fillId="0" borderId="26" xfId="0" applyFont="1" applyBorder="1" applyAlignment="1">
      <alignment horizontal="center" vertical="center" wrapText="1"/>
    </xf>
    <xf numFmtId="0" fontId="3" fillId="0" borderId="27" xfId="0" applyFont="1" applyBorder="1" applyAlignment="1">
      <alignment horizontal="center" vertical="center" wrapText="1"/>
    </xf>
    <xf numFmtId="0" fontId="3" fillId="0" borderId="28" xfId="0" applyFont="1" applyBorder="1" applyAlignment="1">
      <alignment horizontal="center" vertical="center" wrapText="1"/>
    </xf>
    <xf numFmtId="0" fontId="2" fillId="0" borderId="27" xfId="0" applyFont="1" applyBorder="1" applyAlignment="1">
      <alignment horizontal="center" vertical="center" wrapText="1"/>
    </xf>
    <xf numFmtId="177" fontId="2" fillId="0" borderId="27" xfId="0" applyNumberFormat="1" applyFont="1" applyBorder="1" applyAlignment="1">
      <alignment horizontal="center" vertical="center" wrapText="1"/>
    </xf>
    <xf numFmtId="176" fontId="2" fillId="0" borderId="27" xfId="0" applyNumberFormat="1" applyFont="1" applyBorder="1" applyAlignment="1">
      <alignment horizontal="center" vertical="center" wrapText="1"/>
    </xf>
    <xf numFmtId="0" fontId="26" fillId="4" borderId="3" xfId="0" applyFont="1" applyFill="1" applyBorder="1" applyAlignment="1">
      <alignment horizontal="center" vertical="center" wrapText="1"/>
    </xf>
    <xf numFmtId="176" fontId="19" fillId="0" borderId="3" xfId="0" applyNumberFormat="1" applyFont="1" applyBorder="1" applyAlignment="1">
      <alignment horizontal="center" vertical="center"/>
    </xf>
    <xf numFmtId="176" fontId="0" fillId="4" borderId="3" xfId="0" applyNumberFormat="1" applyFill="1" applyBorder="1" applyAlignment="1">
      <alignment horizontal="center" vertical="center"/>
    </xf>
    <xf numFmtId="176" fontId="0" fillId="0" borderId="3" xfId="0" applyNumberFormat="1" applyBorder="1" applyAlignment="1">
      <alignment horizontal="center"/>
    </xf>
    <xf numFmtId="176" fontId="0" fillId="4" borderId="3" xfId="0" applyNumberFormat="1" applyFill="1" applyBorder="1" applyAlignment="1">
      <alignment horizontal="center"/>
    </xf>
    <xf numFmtId="0" fontId="11" fillId="6" borderId="0" xfId="0" applyFont="1" applyFill="1"/>
    <xf numFmtId="179" fontId="19" fillId="4" borderId="3" xfId="0" applyNumberFormat="1" applyFont="1" applyFill="1" applyBorder="1" applyAlignment="1">
      <alignment horizontal="center" vertical="center"/>
    </xf>
    <xf numFmtId="0" fontId="3" fillId="0" borderId="3" xfId="0" applyFont="1" applyBorder="1" applyAlignment="1">
      <alignment horizontal="center" vertical="center" wrapText="1"/>
    </xf>
    <xf numFmtId="0" fontId="0" fillId="0" borderId="3" xfId="0" applyBorder="1" applyAlignment="1">
      <alignment horizontal="center" vertical="center"/>
    </xf>
    <xf numFmtId="0" fontId="5" fillId="0" borderId="3" xfId="0" applyFont="1" applyBorder="1" applyAlignment="1">
      <alignment horizontal="center" vertical="center" wrapText="1"/>
    </xf>
    <xf numFmtId="0" fontId="4" fillId="0" borderId="3" xfId="0" applyFont="1" applyBorder="1" applyAlignment="1">
      <alignment horizontal="center" vertical="center" wrapText="1"/>
    </xf>
    <xf numFmtId="0" fontId="23" fillId="0" borderId="0" xfId="0" applyFont="1" applyBorder="1" applyAlignment="1">
      <alignment horizontal="center" vertical="center"/>
    </xf>
    <xf numFmtId="0" fontId="16" fillId="0" borderId="3" xfId="0" applyFont="1" applyBorder="1" applyAlignment="1">
      <alignment horizontal="center" vertical="center"/>
    </xf>
    <xf numFmtId="176" fontId="2" fillId="0" borderId="3"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0" fillId="0" borderId="0" xfId="0" applyAlignment="1">
      <alignment horizontal="center"/>
    </xf>
    <xf numFmtId="0" fontId="7" fillId="0" borderId="4" xfId="0" applyFont="1" applyBorder="1" applyAlignment="1">
      <alignment horizontal="center" vertical="center"/>
    </xf>
    <xf numFmtId="0" fontId="8" fillId="0" borderId="4" xfId="0" applyFont="1" applyBorder="1" applyAlignment="1">
      <alignment horizontal="center" vertical="center"/>
    </xf>
    <xf numFmtId="0" fontId="0" fillId="0" borderId="3" xfId="0" applyBorder="1" applyAlignment="1">
      <alignment horizontal="center" vertical="center" wrapText="1"/>
    </xf>
    <xf numFmtId="0" fontId="0" fillId="0" borderId="3" xfId="0" applyBorder="1" applyAlignment="1">
      <alignment horizontal="center" vertical="center"/>
    </xf>
    <xf numFmtId="0" fontId="3" fillId="0" borderId="3" xfId="0" applyFont="1" applyBorder="1" applyAlignment="1">
      <alignment horizontal="center" vertical="center" wrapText="1"/>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0" xfId="0" applyBorder="1" applyAlignment="1">
      <alignment horizontal="center" vertical="center"/>
    </xf>
    <xf numFmtId="0" fontId="3" fillId="0" borderId="9"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3" xfId="0" applyFont="1" applyBorder="1" applyAlignment="1">
      <alignment horizontal="justify" vertical="center" wrapText="1"/>
    </xf>
    <xf numFmtId="0" fontId="2" fillId="0" borderId="3" xfId="0" applyFont="1" applyBorder="1" applyAlignment="1">
      <alignment horizontal="justify" vertical="center" wrapText="1"/>
    </xf>
    <xf numFmtId="0" fontId="3" fillId="0" borderId="9" xfId="0" applyFont="1" applyBorder="1" applyAlignment="1">
      <alignment horizontal="left" vertical="center" wrapText="1"/>
    </xf>
    <xf numFmtId="0" fontId="3" fillId="0" borderId="10" xfId="0" applyFont="1" applyBorder="1" applyAlignment="1">
      <alignment horizontal="left" vertical="center" wrapText="1"/>
    </xf>
    <xf numFmtId="0" fontId="6" fillId="0" borderId="0" xfId="0" applyFont="1" applyBorder="1" applyAlignment="1">
      <alignment horizontal="center" vertical="center"/>
    </xf>
    <xf numFmtId="0" fontId="3" fillId="0" borderId="3" xfId="0" applyFont="1" applyBorder="1" applyAlignment="1">
      <alignment horizontal="left" vertical="center" wrapText="1"/>
    </xf>
    <xf numFmtId="0" fontId="11" fillId="0" borderId="4" xfId="0" applyFont="1" applyBorder="1" applyAlignment="1">
      <alignment horizontal="center" vertical="center"/>
    </xf>
    <xf numFmtId="0" fontId="5" fillId="0" borderId="3" xfId="0" applyFont="1" applyBorder="1" applyAlignment="1">
      <alignment horizontal="center" vertical="center" wrapText="1"/>
    </xf>
    <xf numFmtId="0" fontId="5" fillId="0" borderId="3" xfId="0" applyFont="1" applyBorder="1" applyAlignment="1">
      <alignment horizontal="justify" vertical="center" wrapText="1"/>
    </xf>
    <xf numFmtId="0" fontId="4" fillId="0" borderId="3" xfId="0" applyFont="1" applyBorder="1" applyAlignment="1">
      <alignment horizontal="center" vertical="center" wrapText="1"/>
    </xf>
    <xf numFmtId="0" fontId="5" fillId="0" borderId="7"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5" xfId="0" applyFont="1" applyBorder="1" applyAlignment="1">
      <alignment horizontal="center" vertical="center" wrapText="1"/>
    </xf>
    <xf numFmtId="0" fontId="7" fillId="0" borderId="0" xfId="0" applyFont="1" applyBorder="1" applyAlignment="1">
      <alignment horizontal="center" vertical="center"/>
    </xf>
    <xf numFmtId="0" fontId="4" fillId="0" borderId="12"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8" xfId="0" applyFont="1" applyBorder="1" applyAlignment="1">
      <alignment horizontal="center" vertical="center" wrapText="1"/>
    </xf>
    <xf numFmtId="0" fontId="3" fillId="0" borderId="3" xfId="0" applyFont="1" applyBorder="1" applyAlignment="1">
      <alignment horizontal="center" vertical="center" textRotation="255" wrapText="1"/>
    </xf>
    <xf numFmtId="178" fontId="33" fillId="0" borderId="15" xfId="0" applyNumberFormat="1" applyFont="1" applyBorder="1" applyAlignment="1">
      <alignment horizontal="center" vertical="center" wrapText="1"/>
    </xf>
    <xf numFmtId="0" fontId="15" fillId="0" borderId="3" xfId="0" applyFont="1" applyBorder="1" applyAlignment="1">
      <alignment horizontal="center" vertical="center" wrapText="1"/>
    </xf>
    <xf numFmtId="0" fontId="16" fillId="0" borderId="3" xfId="0" applyFont="1" applyBorder="1" applyAlignment="1">
      <alignment horizontal="center" vertical="center"/>
    </xf>
    <xf numFmtId="176" fontId="16" fillId="5" borderId="9" xfId="0" applyNumberFormat="1" applyFont="1" applyFill="1" applyBorder="1" applyAlignment="1">
      <alignment horizontal="center" vertical="center"/>
    </xf>
    <xf numFmtId="176" fontId="16" fillId="5" borderId="10" xfId="0" applyNumberFormat="1" applyFont="1" applyFill="1" applyBorder="1" applyAlignment="1">
      <alignment horizontal="center" vertical="center"/>
    </xf>
    <xf numFmtId="0" fontId="23" fillId="0" borderId="0" xfId="0" applyFont="1" applyBorder="1" applyAlignment="1">
      <alignment horizontal="center" vertical="center"/>
    </xf>
    <xf numFmtId="176" fontId="16" fillId="5" borderId="16" xfId="0" applyNumberFormat="1" applyFont="1" applyFill="1" applyBorder="1" applyAlignment="1">
      <alignment horizontal="center" vertical="center"/>
    </xf>
    <xf numFmtId="176" fontId="16" fillId="5" borderId="17" xfId="0" applyNumberFormat="1" applyFont="1" applyFill="1" applyBorder="1" applyAlignment="1">
      <alignment horizontal="center" vertical="center"/>
    </xf>
    <xf numFmtId="0" fontId="16" fillId="0" borderId="9" xfId="0" applyFont="1" applyBorder="1" applyAlignment="1">
      <alignment horizontal="center"/>
    </xf>
    <xf numFmtId="0" fontId="16" fillId="0" borderId="11" xfId="0" applyFont="1" applyBorder="1" applyAlignment="1">
      <alignment horizontal="center"/>
    </xf>
    <xf numFmtId="177" fontId="16" fillId="0" borderId="9" xfId="0" applyNumberFormat="1" applyFont="1" applyBorder="1" applyAlignment="1">
      <alignment horizontal="center" vertical="center"/>
    </xf>
    <xf numFmtId="177" fontId="16" fillId="0" borderId="11" xfId="0" applyNumberFormat="1" applyFont="1" applyBorder="1" applyAlignment="1">
      <alignment horizontal="center" vertical="center"/>
    </xf>
    <xf numFmtId="0" fontId="16" fillId="0" borderId="10" xfId="0" applyFont="1" applyBorder="1" applyAlignment="1">
      <alignment horizontal="center"/>
    </xf>
    <xf numFmtId="177" fontId="16" fillId="0" borderId="10" xfId="0" applyNumberFormat="1" applyFont="1" applyBorder="1" applyAlignment="1">
      <alignment horizontal="center" vertical="center"/>
    </xf>
    <xf numFmtId="177" fontId="16" fillId="5" borderId="16" xfId="0" applyNumberFormat="1" applyFont="1" applyFill="1" applyBorder="1" applyAlignment="1">
      <alignment horizontal="center" vertical="center"/>
    </xf>
    <xf numFmtId="177" fontId="16" fillId="5" borderId="17" xfId="0" applyNumberFormat="1" applyFont="1" applyFill="1" applyBorder="1" applyAlignment="1">
      <alignment horizontal="center" vertical="center"/>
    </xf>
    <xf numFmtId="0" fontId="16" fillId="0" borderId="9" xfId="0" applyFont="1" applyBorder="1" applyAlignment="1">
      <alignment horizontal="center" vertical="center" wrapText="1"/>
    </xf>
    <xf numFmtId="0" fontId="16" fillId="0" borderId="11" xfId="0" applyFont="1" applyBorder="1" applyAlignment="1">
      <alignment horizontal="center" vertical="center" wrapText="1"/>
    </xf>
    <xf numFmtId="0" fontId="16" fillId="0" borderId="10" xfId="0" applyFont="1" applyBorder="1" applyAlignment="1">
      <alignment horizontal="center" vertical="center" wrapText="1"/>
    </xf>
    <xf numFmtId="0" fontId="23" fillId="0" borderId="4" xfId="0" applyFont="1" applyBorder="1" applyAlignment="1">
      <alignment horizontal="center" vertical="center"/>
    </xf>
    <xf numFmtId="0" fontId="19" fillId="0" borderId="14" xfId="0" applyFont="1" applyBorder="1" applyAlignment="1">
      <alignment horizontal="center" vertical="center"/>
    </xf>
    <xf numFmtId="0" fontId="16" fillId="0" borderId="5" xfId="0" applyFont="1" applyBorder="1" applyAlignment="1">
      <alignment horizontal="center" vertical="center"/>
    </xf>
    <xf numFmtId="0" fontId="16" fillId="0" borderId="6" xfId="0" applyFont="1" applyBorder="1" applyAlignment="1">
      <alignment horizontal="center" vertical="center"/>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177" fontId="2" fillId="0" borderId="29" xfId="0" applyNumberFormat="1" applyFont="1" applyBorder="1" applyAlignment="1">
      <alignment horizontal="center" vertical="center" wrapText="1"/>
    </xf>
    <xf numFmtId="0" fontId="2" fillId="0" borderId="30" xfId="0" applyFont="1" applyBorder="1" applyAlignment="1">
      <alignment horizontal="center" vertical="center" wrapText="1"/>
    </xf>
    <xf numFmtId="0" fontId="2" fillId="0" borderId="31" xfId="0" applyFont="1" applyBorder="1" applyAlignment="1">
      <alignment horizontal="center" vertical="center" wrapText="1"/>
    </xf>
    <xf numFmtId="0" fontId="3" fillId="0" borderId="32" xfId="0" applyFont="1" applyBorder="1" applyAlignment="1">
      <alignment horizontal="center" vertical="center" wrapText="1"/>
    </xf>
    <xf numFmtId="0" fontId="3" fillId="0" borderId="33" xfId="0" applyFont="1" applyBorder="1" applyAlignment="1">
      <alignment horizontal="center" vertical="center" wrapText="1"/>
    </xf>
    <xf numFmtId="0" fontId="3" fillId="0" borderId="34" xfId="0" applyFont="1" applyBorder="1" applyAlignment="1">
      <alignment horizontal="center" vertical="center" wrapText="1"/>
    </xf>
    <xf numFmtId="176" fontId="2" fillId="0" borderId="3" xfId="0" applyNumberFormat="1" applyFont="1" applyBorder="1" applyAlignment="1">
      <alignment horizontal="center" vertical="center" wrapText="1"/>
    </xf>
    <xf numFmtId="0" fontId="2" fillId="0" borderId="3" xfId="0" applyFont="1" applyBorder="1" applyAlignment="1">
      <alignment horizontal="center" vertical="center" wrapText="1"/>
    </xf>
    <xf numFmtId="0" fontId="2" fillId="0" borderId="21" xfId="0" applyFont="1" applyBorder="1" applyAlignment="1">
      <alignment horizontal="center" vertical="center" wrapText="1"/>
    </xf>
    <xf numFmtId="176" fontId="2" fillId="0" borderId="19" xfId="0" applyNumberFormat="1" applyFont="1" applyBorder="1" applyAlignment="1">
      <alignment horizontal="center" vertical="center" wrapText="1"/>
    </xf>
    <xf numFmtId="0" fontId="2" fillId="0" borderId="19" xfId="0" applyFont="1" applyBorder="1" applyAlignment="1">
      <alignment horizontal="center" vertical="center" wrapText="1"/>
    </xf>
    <xf numFmtId="0" fontId="2" fillId="0" borderId="22" xfId="0" applyFont="1" applyBorder="1" applyAlignment="1">
      <alignment horizontal="center" vertical="center" wrapText="1"/>
    </xf>
  </cellXfs>
  <cellStyles count="1">
    <cellStyle name="常规"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57150</xdr:colOff>
          <xdr:row>0</xdr:row>
          <xdr:rowOff>66675</xdr:rowOff>
        </xdr:from>
        <xdr:to>
          <xdr:col>7</xdr:col>
          <xdr:colOff>781050</xdr:colOff>
          <xdr:row>0</xdr:row>
          <xdr:rowOff>371475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表单定制</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95250</xdr:colOff>
          <xdr:row>0</xdr:row>
          <xdr:rowOff>57150</xdr:rowOff>
        </xdr:from>
        <xdr:to>
          <xdr:col>7</xdr:col>
          <xdr:colOff>742950</xdr:colOff>
          <xdr:row>0</xdr:row>
          <xdr:rowOff>361950</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FF0000"/>
                  </a:solidFill>
                  <a:latin typeface="宋体"/>
                  <a:ea typeface="宋体"/>
                </a:rPr>
                <a:t>表单定制</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5</xdr:row>
          <xdr:rowOff>9525</xdr:rowOff>
        </xdr:from>
        <xdr:to>
          <xdr:col>2</xdr:col>
          <xdr:colOff>476250</xdr:colOff>
          <xdr:row>8</xdr:row>
          <xdr:rowOff>9525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上部结构</a:t>
              </a:r>
            </a:p>
            <a:p>
              <a:pPr algn="ctr" rtl="0">
                <a:defRPr sz="1000"/>
              </a:pPr>
              <a:r>
                <a:rPr lang="zh-CN" altLang="en-US" sz="1200" b="0" i="0" u="none" strike="noStrike" baseline="0">
                  <a:solidFill>
                    <a:srgbClr val="FF0000"/>
                  </a:solidFill>
                  <a:latin typeface="宋体"/>
                  <a:ea typeface="宋体"/>
                </a:rPr>
                <a:t>结果整理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5</xdr:row>
          <xdr:rowOff>9525</xdr:rowOff>
        </xdr:from>
        <xdr:to>
          <xdr:col>2</xdr:col>
          <xdr:colOff>476250</xdr:colOff>
          <xdr:row>8</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上部结构</a:t>
              </a:r>
            </a:p>
            <a:p>
              <a:pPr algn="ctr" rtl="0">
                <a:defRPr sz="1000"/>
              </a:pPr>
              <a:r>
                <a:rPr lang="zh-CN" altLang="en-US" sz="1200" b="0" i="0" u="none" strike="noStrike" baseline="0">
                  <a:solidFill>
                    <a:srgbClr val="FF0000"/>
                  </a:solidFill>
                  <a:latin typeface="宋体"/>
                  <a:ea typeface="宋体"/>
                </a:rPr>
                <a:t>结果整理</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6</xdr:row>
          <xdr:rowOff>9525</xdr:rowOff>
        </xdr:from>
        <xdr:to>
          <xdr:col>2</xdr:col>
          <xdr:colOff>476250</xdr:colOff>
          <xdr:row>9</xdr:row>
          <xdr:rowOff>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200" b="0" i="0" u="none" strike="noStrike" baseline="0">
                  <a:solidFill>
                    <a:srgbClr val="FF0000"/>
                  </a:solidFill>
                  <a:latin typeface="宋体"/>
                  <a:ea typeface="宋体"/>
                </a:rPr>
                <a:t>下部结构</a:t>
              </a:r>
            </a:p>
            <a:p>
              <a:pPr algn="ctr" rtl="0">
                <a:defRPr sz="1000"/>
              </a:pPr>
              <a:r>
                <a:rPr lang="zh-CN" altLang="en-US" sz="1200" b="0" i="0" u="none" strike="noStrike" baseline="0">
                  <a:solidFill>
                    <a:srgbClr val="FF0000"/>
                  </a:solidFill>
                  <a:latin typeface="宋体"/>
                  <a:ea typeface="宋体"/>
                </a:rPr>
                <a:t>结果整理</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L109"/>
  <sheetViews>
    <sheetView topLeftCell="A91" workbookViewId="0">
      <selection activeCell="C63" sqref="C63:I69"/>
    </sheetView>
  </sheetViews>
  <sheetFormatPr defaultRowHeight="13.5" x14ac:dyDescent="0.15"/>
  <cols>
    <col min="1" max="1" width="6.875" customWidth="1"/>
    <col min="2" max="2" width="7.5" customWidth="1"/>
    <col min="4" max="4" width="19.125" customWidth="1"/>
    <col min="5" max="5" width="12" customWidth="1"/>
    <col min="7" max="7" width="12" customWidth="1"/>
    <col min="10" max="10" width="40.625" customWidth="1"/>
    <col min="12" max="12" width="34" customWidth="1"/>
  </cols>
  <sheetData>
    <row r="1" spans="1:10" ht="30" customHeight="1" x14ac:dyDescent="0.15">
      <c r="B1" s="137" t="s">
        <v>130</v>
      </c>
      <c r="C1" s="137"/>
      <c r="D1" s="137"/>
      <c r="E1" s="137"/>
      <c r="F1" s="137"/>
      <c r="G1" s="137"/>
      <c r="H1" s="137"/>
      <c r="I1" s="137"/>
      <c r="J1" s="137"/>
    </row>
    <row r="2" spans="1:10" ht="24.75" customHeight="1" x14ac:dyDescent="0.15">
      <c r="A2" s="4" t="s">
        <v>127</v>
      </c>
      <c r="B2" s="4" t="s">
        <v>126</v>
      </c>
      <c r="C2" s="4" t="s">
        <v>158</v>
      </c>
      <c r="D2" s="4" t="s">
        <v>4</v>
      </c>
      <c r="E2" s="126" t="s">
        <v>5</v>
      </c>
      <c r="F2" s="126"/>
      <c r="G2" s="126"/>
      <c r="H2" s="126"/>
      <c r="I2" s="4" t="s">
        <v>131</v>
      </c>
      <c r="J2" s="4" t="s">
        <v>6</v>
      </c>
    </row>
    <row r="3" spans="1:10" ht="20.25" customHeight="1" x14ac:dyDescent="0.15">
      <c r="A3" s="125">
        <v>1</v>
      </c>
      <c r="B3" s="126" t="s">
        <v>94</v>
      </c>
      <c r="C3" s="126" t="s">
        <v>132</v>
      </c>
      <c r="D3" s="126" t="s">
        <v>7</v>
      </c>
      <c r="E3" s="4" t="s">
        <v>8</v>
      </c>
      <c r="F3" s="5" t="s">
        <v>9</v>
      </c>
      <c r="G3" s="5" t="s">
        <v>10</v>
      </c>
      <c r="H3" s="5" t="s">
        <v>11</v>
      </c>
      <c r="I3" s="33"/>
      <c r="J3" s="138" t="s">
        <v>12</v>
      </c>
    </row>
    <row r="4" spans="1:10" ht="20.25" customHeight="1" x14ac:dyDescent="0.15">
      <c r="A4" s="125"/>
      <c r="B4" s="126"/>
      <c r="C4" s="126"/>
      <c r="D4" s="126"/>
      <c r="E4" s="4" t="s">
        <v>13</v>
      </c>
      <c r="F4" s="5">
        <v>5</v>
      </c>
      <c r="G4" s="5">
        <v>15</v>
      </c>
      <c r="H4" s="5">
        <v>40</v>
      </c>
      <c r="I4" s="8"/>
      <c r="J4" s="138"/>
    </row>
    <row r="5" spans="1:10" ht="20.25" customHeight="1" x14ac:dyDescent="0.15">
      <c r="A5" s="125"/>
      <c r="B5" s="126"/>
      <c r="C5" s="126" t="s">
        <v>133</v>
      </c>
      <c r="D5" s="126" t="s">
        <v>14</v>
      </c>
      <c r="E5" s="4" t="s">
        <v>8</v>
      </c>
      <c r="F5" s="5" t="s">
        <v>9</v>
      </c>
      <c r="G5" s="5" t="s">
        <v>15</v>
      </c>
      <c r="H5" s="5" t="s">
        <v>11</v>
      </c>
      <c r="I5" s="33"/>
      <c r="J5" s="133" t="s">
        <v>16</v>
      </c>
    </row>
    <row r="6" spans="1:10" ht="20.25" customHeight="1" x14ac:dyDescent="0.15">
      <c r="A6" s="125"/>
      <c r="B6" s="126"/>
      <c r="C6" s="126"/>
      <c r="D6" s="126"/>
      <c r="E6" s="4" t="s">
        <v>13</v>
      </c>
      <c r="F6" s="5">
        <v>5</v>
      </c>
      <c r="G6" s="5">
        <v>15</v>
      </c>
      <c r="H6" s="5">
        <v>40</v>
      </c>
      <c r="I6" s="8"/>
      <c r="J6" s="133"/>
    </row>
    <row r="7" spans="1:10" ht="20.25" customHeight="1" x14ac:dyDescent="0.15">
      <c r="A7" s="125"/>
      <c r="B7" s="126"/>
      <c r="C7" s="126" t="s">
        <v>17</v>
      </c>
      <c r="D7" s="126" t="s">
        <v>18</v>
      </c>
      <c r="E7" s="4" t="s">
        <v>8</v>
      </c>
      <c r="F7" s="5" t="s">
        <v>9</v>
      </c>
      <c r="G7" s="5" t="s">
        <v>19</v>
      </c>
      <c r="H7" s="5" t="s">
        <v>20</v>
      </c>
      <c r="I7" s="33"/>
      <c r="J7" s="133" t="s">
        <v>21</v>
      </c>
    </row>
    <row r="8" spans="1:10" ht="20.25" customHeight="1" x14ac:dyDescent="0.15">
      <c r="A8" s="125"/>
      <c r="B8" s="126"/>
      <c r="C8" s="126"/>
      <c r="D8" s="126"/>
      <c r="E8" s="4" t="s">
        <v>13</v>
      </c>
      <c r="F8" s="5">
        <v>25</v>
      </c>
      <c r="G8" s="5">
        <v>45</v>
      </c>
      <c r="H8" s="5">
        <v>65</v>
      </c>
      <c r="I8" s="8">
        <v>45</v>
      </c>
      <c r="J8" s="133"/>
    </row>
    <row r="9" spans="1:10" ht="20.25" customHeight="1" x14ac:dyDescent="0.15">
      <c r="A9" s="125"/>
      <c r="B9" s="126"/>
      <c r="C9" s="126" t="s">
        <v>134</v>
      </c>
      <c r="D9" s="126" t="s">
        <v>22</v>
      </c>
      <c r="E9" s="4" t="s">
        <v>8</v>
      </c>
      <c r="F9" s="5" t="s">
        <v>9</v>
      </c>
      <c r="G9" s="5" t="s">
        <v>19</v>
      </c>
      <c r="H9" s="5" t="s">
        <v>20</v>
      </c>
      <c r="I9" s="33"/>
      <c r="J9" s="133" t="s">
        <v>23</v>
      </c>
    </row>
    <row r="10" spans="1:10" ht="20.25" customHeight="1" x14ac:dyDescent="0.15">
      <c r="A10" s="125"/>
      <c r="B10" s="126"/>
      <c r="C10" s="126"/>
      <c r="D10" s="126"/>
      <c r="E10" s="4" t="s">
        <v>13</v>
      </c>
      <c r="F10" s="5">
        <v>40</v>
      </c>
      <c r="G10" s="5">
        <v>65</v>
      </c>
      <c r="H10" s="5">
        <v>80</v>
      </c>
      <c r="I10" s="8">
        <v>40</v>
      </c>
      <c r="J10" s="133"/>
    </row>
    <row r="11" spans="1:10" ht="20.25" customHeight="1" x14ac:dyDescent="0.15">
      <c r="A11" s="125"/>
      <c r="B11" s="126"/>
      <c r="C11" s="126" t="s">
        <v>322</v>
      </c>
      <c r="D11" s="126" t="s">
        <v>323</v>
      </c>
      <c r="E11" s="4" t="s">
        <v>8</v>
      </c>
      <c r="F11" s="5" t="s">
        <v>24</v>
      </c>
      <c r="G11" s="5" t="s">
        <v>25</v>
      </c>
      <c r="H11" s="5" t="s">
        <v>26</v>
      </c>
      <c r="I11" s="33"/>
      <c r="J11" s="126" t="s">
        <v>27</v>
      </c>
    </row>
    <row r="12" spans="1:10" ht="20.25" customHeight="1" x14ac:dyDescent="0.15">
      <c r="A12" s="125"/>
      <c r="B12" s="126"/>
      <c r="C12" s="126"/>
      <c r="D12" s="126"/>
      <c r="E12" s="4" t="s">
        <v>13</v>
      </c>
      <c r="F12" s="5">
        <v>50</v>
      </c>
      <c r="G12" s="5">
        <v>65</v>
      </c>
      <c r="H12" s="5">
        <v>80</v>
      </c>
      <c r="I12" s="8"/>
      <c r="J12" s="126"/>
    </row>
    <row r="13" spans="1:10" ht="24" customHeight="1" x14ac:dyDescent="0.15">
      <c r="A13" s="125"/>
      <c r="B13" s="126"/>
      <c r="C13" s="126" t="s">
        <v>28</v>
      </c>
      <c r="D13" s="126" t="s">
        <v>29</v>
      </c>
      <c r="E13" s="4" t="s">
        <v>8</v>
      </c>
      <c r="F13" s="4" t="s">
        <v>30</v>
      </c>
      <c r="G13" s="4" t="s">
        <v>31</v>
      </c>
      <c r="H13" s="4" t="s">
        <v>32</v>
      </c>
      <c r="I13" s="32"/>
      <c r="J13" s="133" t="s">
        <v>33</v>
      </c>
    </row>
    <row r="14" spans="1:10" ht="30" customHeight="1" x14ac:dyDescent="0.15">
      <c r="A14" s="125"/>
      <c r="B14" s="126"/>
      <c r="C14" s="126"/>
      <c r="D14" s="126"/>
      <c r="E14" s="4" t="s">
        <v>13</v>
      </c>
      <c r="F14" s="5">
        <v>0</v>
      </c>
      <c r="G14" s="5">
        <v>5</v>
      </c>
      <c r="H14" s="5">
        <v>15</v>
      </c>
      <c r="I14" s="8"/>
      <c r="J14" s="133"/>
    </row>
    <row r="15" spans="1:10" ht="24" customHeight="1" x14ac:dyDescent="0.15">
      <c r="A15" s="125"/>
      <c r="B15" s="126"/>
      <c r="C15" s="126" t="s">
        <v>34</v>
      </c>
      <c r="D15" s="126" t="s">
        <v>35</v>
      </c>
      <c r="E15" s="4" t="s">
        <v>8</v>
      </c>
      <c r="F15" s="4" t="s">
        <v>30</v>
      </c>
      <c r="G15" s="4" t="s">
        <v>31</v>
      </c>
      <c r="H15" s="4" t="s">
        <v>32</v>
      </c>
      <c r="I15" s="32"/>
      <c r="J15" s="133" t="s">
        <v>36</v>
      </c>
    </row>
    <row r="16" spans="1:10" ht="28.5" customHeight="1" x14ac:dyDescent="0.15">
      <c r="A16" s="125"/>
      <c r="B16" s="126"/>
      <c r="C16" s="126"/>
      <c r="D16" s="126"/>
      <c r="E16" s="4" t="s">
        <v>13</v>
      </c>
      <c r="F16" s="5">
        <v>0</v>
      </c>
      <c r="G16" s="5">
        <v>5</v>
      </c>
      <c r="H16" s="5">
        <v>15</v>
      </c>
      <c r="I16" s="8">
        <v>15</v>
      </c>
      <c r="J16" s="133"/>
    </row>
    <row r="17" spans="1:12" ht="27.75" customHeight="1" x14ac:dyDescent="0.15">
      <c r="A17" s="125">
        <v>2</v>
      </c>
      <c r="B17" s="126" t="s">
        <v>251</v>
      </c>
      <c r="C17" s="126" t="s">
        <v>38</v>
      </c>
      <c r="D17" s="126" t="s">
        <v>39</v>
      </c>
      <c r="E17" s="4" t="s">
        <v>8</v>
      </c>
      <c r="F17" s="4" t="s">
        <v>30</v>
      </c>
      <c r="G17" s="4" t="s">
        <v>40</v>
      </c>
      <c r="H17" s="4" t="s">
        <v>41</v>
      </c>
      <c r="I17" s="32"/>
      <c r="J17" s="134" t="s">
        <v>42</v>
      </c>
    </row>
    <row r="18" spans="1:12" ht="27.75" customHeight="1" x14ac:dyDescent="0.15">
      <c r="A18" s="125"/>
      <c r="B18" s="126"/>
      <c r="C18" s="126"/>
      <c r="D18" s="126"/>
      <c r="E18" s="4" t="s">
        <v>13</v>
      </c>
      <c r="F18" s="5">
        <v>0</v>
      </c>
      <c r="G18" s="5">
        <v>15</v>
      </c>
      <c r="H18" s="5">
        <v>40</v>
      </c>
      <c r="I18" s="8">
        <v>15</v>
      </c>
      <c r="J18" s="134"/>
    </row>
    <row r="19" spans="1:12" ht="20.25" customHeight="1" x14ac:dyDescent="0.15">
      <c r="A19" s="125"/>
      <c r="B19" s="126"/>
      <c r="C19" s="126" t="s">
        <v>376</v>
      </c>
      <c r="D19" s="126" t="s">
        <v>43</v>
      </c>
      <c r="E19" s="4" t="s">
        <v>8</v>
      </c>
      <c r="F19" s="5" t="s">
        <v>44</v>
      </c>
      <c r="G19" s="4" t="s">
        <v>45</v>
      </c>
      <c r="H19" s="5" t="s">
        <v>46</v>
      </c>
      <c r="I19" s="33"/>
      <c r="J19" s="126" t="s">
        <v>95</v>
      </c>
    </row>
    <row r="20" spans="1:12" ht="20.25" customHeight="1" x14ac:dyDescent="0.15">
      <c r="A20" s="125"/>
      <c r="B20" s="126"/>
      <c r="C20" s="126"/>
      <c r="D20" s="126"/>
      <c r="E20" s="4" t="s">
        <v>13</v>
      </c>
      <c r="F20" s="5">
        <v>15</v>
      </c>
      <c r="G20" s="5">
        <v>40</v>
      </c>
      <c r="H20" s="5">
        <v>80</v>
      </c>
      <c r="I20" s="8"/>
      <c r="J20" s="126"/>
    </row>
    <row r="21" spans="1:12" ht="19.5" customHeight="1" x14ac:dyDescent="0.15">
      <c r="A21" s="125">
        <v>3</v>
      </c>
      <c r="B21" s="126" t="s">
        <v>97</v>
      </c>
      <c r="C21" s="126" t="s">
        <v>98</v>
      </c>
      <c r="D21" s="126" t="s">
        <v>48</v>
      </c>
      <c r="E21" s="4" t="s">
        <v>8</v>
      </c>
      <c r="F21" s="4" t="s">
        <v>30</v>
      </c>
      <c r="G21" s="5" t="s">
        <v>49</v>
      </c>
      <c r="H21" s="5" t="s">
        <v>50</v>
      </c>
      <c r="I21" s="33"/>
      <c r="J21" s="126" t="s">
        <v>51</v>
      </c>
    </row>
    <row r="22" spans="1:12" ht="19.5" customHeight="1" x14ac:dyDescent="0.15">
      <c r="A22" s="125"/>
      <c r="B22" s="126"/>
      <c r="C22" s="126"/>
      <c r="D22" s="126"/>
      <c r="E22" s="4" t="s">
        <v>13</v>
      </c>
      <c r="F22" s="5">
        <v>0</v>
      </c>
      <c r="G22" s="5">
        <v>15</v>
      </c>
      <c r="H22" s="5">
        <v>40</v>
      </c>
      <c r="I22" s="8"/>
      <c r="J22" s="126"/>
    </row>
    <row r="23" spans="1:12" ht="19.5" customHeight="1" x14ac:dyDescent="0.15">
      <c r="A23" s="125"/>
      <c r="B23" s="126"/>
      <c r="C23" s="133" t="s">
        <v>52</v>
      </c>
      <c r="D23" s="126" t="s">
        <v>53</v>
      </c>
      <c r="E23" s="4" t="s">
        <v>8</v>
      </c>
      <c r="F23" s="4" t="s">
        <v>30</v>
      </c>
      <c r="G23" s="4" t="s">
        <v>54</v>
      </c>
      <c r="H23" s="4" t="s">
        <v>55</v>
      </c>
      <c r="I23" s="32"/>
      <c r="J23" s="133" t="s">
        <v>56</v>
      </c>
    </row>
    <row r="24" spans="1:12" ht="19.5" customHeight="1" x14ac:dyDescent="0.15">
      <c r="A24" s="125"/>
      <c r="B24" s="126"/>
      <c r="C24" s="133"/>
      <c r="D24" s="126"/>
      <c r="E24" s="4" t="s">
        <v>13</v>
      </c>
      <c r="F24" s="5">
        <v>0</v>
      </c>
      <c r="G24" s="5">
        <v>5</v>
      </c>
      <c r="H24" s="5">
        <v>15</v>
      </c>
      <c r="I24" s="8"/>
      <c r="J24" s="133"/>
    </row>
    <row r="25" spans="1:12" ht="33" customHeight="1" x14ac:dyDescent="0.15">
      <c r="A25" s="125"/>
      <c r="B25" s="126"/>
      <c r="C25" s="126" t="s">
        <v>324</v>
      </c>
      <c r="D25" s="126" t="s">
        <v>325</v>
      </c>
      <c r="E25" s="4" t="s">
        <v>8</v>
      </c>
      <c r="F25" s="4" t="s">
        <v>30</v>
      </c>
      <c r="G25" s="4" t="s">
        <v>40</v>
      </c>
      <c r="H25" s="4" t="s">
        <v>55</v>
      </c>
      <c r="I25" s="32"/>
      <c r="J25" s="134" t="s">
        <v>326</v>
      </c>
      <c r="L25" s="12"/>
    </row>
    <row r="26" spans="1:12" ht="33" customHeight="1" x14ac:dyDescent="0.15">
      <c r="A26" s="125"/>
      <c r="B26" s="126"/>
      <c r="C26" s="126"/>
      <c r="D26" s="126"/>
      <c r="E26" s="4" t="s">
        <v>13</v>
      </c>
      <c r="F26" s="5">
        <v>0</v>
      </c>
      <c r="G26" s="5">
        <v>15</v>
      </c>
      <c r="H26" s="5">
        <v>40</v>
      </c>
      <c r="I26" s="8"/>
      <c r="J26" s="134"/>
    </row>
    <row r="27" spans="1:12" ht="33" customHeight="1" x14ac:dyDescent="0.15">
      <c r="A27" s="125"/>
      <c r="B27" s="126"/>
      <c r="C27" s="126" t="s">
        <v>327</v>
      </c>
      <c r="D27" s="126" t="s">
        <v>328</v>
      </c>
      <c r="E27" s="28" t="s">
        <v>8</v>
      </c>
      <c r="F27" s="28" t="s">
        <v>30</v>
      </c>
      <c r="G27" s="28" t="s">
        <v>40</v>
      </c>
      <c r="H27" s="28" t="s">
        <v>55</v>
      </c>
      <c r="I27" s="32"/>
      <c r="J27" s="134" t="s">
        <v>329</v>
      </c>
      <c r="L27" s="12"/>
    </row>
    <row r="28" spans="1:12" ht="33" customHeight="1" x14ac:dyDescent="0.15">
      <c r="A28" s="125"/>
      <c r="B28" s="126"/>
      <c r="C28" s="126"/>
      <c r="D28" s="126"/>
      <c r="E28" s="28" t="s">
        <v>13</v>
      </c>
      <c r="F28" s="29">
        <v>0</v>
      </c>
      <c r="G28" s="29">
        <v>40</v>
      </c>
      <c r="H28" s="29">
        <v>65</v>
      </c>
      <c r="I28" s="8"/>
      <c r="J28" s="134"/>
    </row>
    <row r="29" spans="1:12" ht="33" customHeight="1" x14ac:dyDescent="0.15">
      <c r="A29" s="125"/>
      <c r="B29" s="126"/>
      <c r="C29" s="126" t="s">
        <v>57</v>
      </c>
      <c r="D29" s="126" t="s">
        <v>58</v>
      </c>
      <c r="E29" s="28" t="s">
        <v>8</v>
      </c>
      <c r="F29" s="28" t="s">
        <v>30</v>
      </c>
      <c r="G29" s="28" t="s">
        <v>40</v>
      </c>
      <c r="H29" s="28" t="s">
        <v>55</v>
      </c>
      <c r="I29" s="32"/>
      <c r="J29" s="134" t="s">
        <v>271</v>
      </c>
      <c r="L29" s="12"/>
    </row>
    <row r="30" spans="1:12" ht="33" customHeight="1" x14ac:dyDescent="0.15">
      <c r="A30" s="125"/>
      <c r="B30" s="126"/>
      <c r="C30" s="126"/>
      <c r="D30" s="126"/>
      <c r="E30" s="28" t="s">
        <v>13</v>
      </c>
      <c r="F30" s="29">
        <v>0</v>
      </c>
      <c r="G30" s="29">
        <v>40</v>
      </c>
      <c r="H30" s="29">
        <v>65</v>
      </c>
      <c r="I30" s="8"/>
      <c r="J30" s="134"/>
    </row>
    <row r="31" spans="1:12" ht="35.25" customHeight="1" x14ac:dyDescent="0.15">
      <c r="A31" s="125"/>
      <c r="B31" s="126"/>
      <c r="C31" s="126" t="s">
        <v>59</v>
      </c>
      <c r="D31" s="126" t="s">
        <v>60</v>
      </c>
      <c r="E31" s="4" t="s">
        <v>8</v>
      </c>
      <c r="F31" s="4" t="s">
        <v>30</v>
      </c>
      <c r="G31" s="4" t="s">
        <v>40</v>
      </c>
      <c r="H31" s="4" t="s">
        <v>41</v>
      </c>
      <c r="I31" s="32"/>
      <c r="J31" s="133" t="s">
        <v>61</v>
      </c>
    </row>
    <row r="32" spans="1:12" ht="35.25" customHeight="1" x14ac:dyDescent="0.15">
      <c r="A32" s="125"/>
      <c r="B32" s="126"/>
      <c r="C32" s="126"/>
      <c r="D32" s="126"/>
      <c r="E32" s="4" t="s">
        <v>13</v>
      </c>
      <c r="F32" s="5">
        <v>0</v>
      </c>
      <c r="G32" s="5">
        <v>5</v>
      </c>
      <c r="H32" s="5">
        <v>15</v>
      </c>
      <c r="I32" s="8"/>
      <c r="J32" s="133"/>
    </row>
    <row r="33" spans="1:10" ht="36" customHeight="1" x14ac:dyDescent="0.15">
      <c r="A33" s="125"/>
      <c r="B33" s="126"/>
      <c r="C33" s="126" t="s">
        <v>62</v>
      </c>
      <c r="D33" s="126" t="s">
        <v>63</v>
      </c>
      <c r="E33" s="4" t="s">
        <v>8</v>
      </c>
      <c r="F33" s="4" t="s">
        <v>30</v>
      </c>
      <c r="G33" s="4" t="s">
        <v>40</v>
      </c>
      <c r="H33" s="4" t="s">
        <v>55</v>
      </c>
      <c r="I33" s="32"/>
      <c r="J33" s="135" t="s">
        <v>64</v>
      </c>
    </row>
    <row r="34" spans="1:10" ht="36" customHeight="1" x14ac:dyDescent="0.15">
      <c r="A34" s="125"/>
      <c r="B34" s="126"/>
      <c r="C34" s="126"/>
      <c r="D34" s="126"/>
      <c r="E34" s="4" t="s">
        <v>13</v>
      </c>
      <c r="F34" s="5">
        <v>0</v>
      </c>
      <c r="G34" s="5">
        <v>15</v>
      </c>
      <c r="H34" s="5">
        <v>40</v>
      </c>
      <c r="I34" s="8"/>
      <c r="J34" s="136"/>
    </row>
    <row r="35" spans="1:10" ht="28.5" customHeight="1" x14ac:dyDescent="0.15">
      <c r="A35" s="125"/>
      <c r="B35" s="126"/>
      <c r="C35" s="126" t="s">
        <v>286</v>
      </c>
      <c r="D35" s="126" t="s">
        <v>65</v>
      </c>
      <c r="E35" s="4" t="s">
        <v>8</v>
      </c>
      <c r="F35" s="4" t="s">
        <v>66</v>
      </c>
      <c r="G35" s="4" t="s">
        <v>67</v>
      </c>
      <c r="H35" s="4" t="s">
        <v>68</v>
      </c>
      <c r="I35" s="32"/>
      <c r="J35" s="133" t="s">
        <v>69</v>
      </c>
    </row>
    <row r="36" spans="1:10" ht="28.5" customHeight="1" x14ac:dyDescent="0.15">
      <c r="A36" s="125"/>
      <c r="B36" s="126"/>
      <c r="C36" s="126"/>
      <c r="D36" s="126"/>
      <c r="E36" s="4" t="s">
        <v>13</v>
      </c>
      <c r="F36" s="5">
        <v>0</v>
      </c>
      <c r="G36" s="5">
        <v>15</v>
      </c>
      <c r="H36" s="5">
        <v>65</v>
      </c>
      <c r="I36" s="8"/>
      <c r="J36" s="133"/>
    </row>
    <row r="37" spans="1:10" ht="28.5" customHeight="1" x14ac:dyDescent="0.15">
      <c r="A37" s="125"/>
      <c r="B37" s="126"/>
      <c r="C37" s="126" t="s">
        <v>70</v>
      </c>
      <c r="D37" s="126" t="s">
        <v>71</v>
      </c>
      <c r="E37" s="4" t="s">
        <v>8</v>
      </c>
      <c r="F37" s="4" t="s">
        <v>30</v>
      </c>
      <c r="G37" s="4" t="s">
        <v>40</v>
      </c>
      <c r="H37" s="4" t="s">
        <v>55</v>
      </c>
      <c r="I37" s="32"/>
      <c r="J37" s="133" t="s">
        <v>72</v>
      </c>
    </row>
    <row r="38" spans="1:10" ht="28.5" customHeight="1" x14ac:dyDescent="0.15">
      <c r="A38" s="125"/>
      <c r="B38" s="126"/>
      <c r="C38" s="126"/>
      <c r="D38" s="126"/>
      <c r="E38" s="4" t="s">
        <v>13</v>
      </c>
      <c r="F38" s="5">
        <v>0</v>
      </c>
      <c r="G38" s="5">
        <v>10</v>
      </c>
      <c r="H38" s="5">
        <v>30</v>
      </c>
      <c r="I38" s="8"/>
      <c r="J38" s="133"/>
    </row>
    <row r="39" spans="1:10" ht="21" customHeight="1" x14ac:dyDescent="0.15">
      <c r="A39" s="125">
        <v>4</v>
      </c>
      <c r="B39" s="126" t="s">
        <v>100</v>
      </c>
      <c r="C39" s="126" t="s">
        <v>73</v>
      </c>
      <c r="D39" s="126" t="s">
        <v>74</v>
      </c>
      <c r="E39" s="4" t="s">
        <v>8</v>
      </c>
      <c r="F39" s="5" t="s">
        <v>75</v>
      </c>
      <c r="G39" s="5" t="s">
        <v>76</v>
      </c>
      <c r="H39" s="5" t="s">
        <v>77</v>
      </c>
      <c r="I39" s="33"/>
      <c r="J39" s="133" t="s">
        <v>78</v>
      </c>
    </row>
    <row r="40" spans="1:10" ht="21" customHeight="1" x14ac:dyDescent="0.15">
      <c r="A40" s="125"/>
      <c r="B40" s="126"/>
      <c r="C40" s="126"/>
      <c r="D40" s="126"/>
      <c r="E40" s="4" t="s">
        <v>13</v>
      </c>
      <c r="F40" s="5">
        <v>10</v>
      </c>
      <c r="G40" s="5">
        <v>40</v>
      </c>
      <c r="H40" s="5">
        <v>80</v>
      </c>
      <c r="I40" s="8"/>
      <c r="J40" s="133"/>
    </row>
    <row r="41" spans="1:10" ht="21" customHeight="1" x14ac:dyDescent="0.15">
      <c r="A41" s="125"/>
      <c r="B41" s="126"/>
      <c r="C41" s="126" t="s">
        <v>128</v>
      </c>
      <c r="D41" s="126" t="s">
        <v>80</v>
      </c>
      <c r="E41" s="4" t="s">
        <v>8</v>
      </c>
      <c r="F41" s="5" t="s">
        <v>75</v>
      </c>
      <c r="G41" s="5" t="s">
        <v>76</v>
      </c>
      <c r="H41" s="5" t="s">
        <v>77</v>
      </c>
      <c r="I41" s="33"/>
      <c r="J41" s="133" t="s">
        <v>81</v>
      </c>
    </row>
    <row r="42" spans="1:10" ht="21" customHeight="1" x14ac:dyDescent="0.15">
      <c r="A42" s="125"/>
      <c r="B42" s="126"/>
      <c r="C42" s="126"/>
      <c r="D42" s="126"/>
      <c r="E42" s="4" t="s">
        <v>13</v>
      </c>
      <c r="F42" s="5">
        <v>10</v>
      </c>
      <c r="G42" s="5">
        <v>20</v>
      </c>
      <c r="H42" s="5">
        <v>40</v>
      </c>
      <c r="I42" s="8"/>
      <c r="J42" s="133"/>
    </row>
    <row r="43" spans="1:10" ht="22.5" customHeight="1" x14ac:dyDescent="0.15">
      <c r="A43" s="125"/>
      <c r="B43" s="126"/>
      <c r="C43" s="126" t="s">
        <v>129</v>
      </c>
      <c r="D43" s="126" t="s">
        <v>82</v>
      </c>
      <c r="E43" s="4" t="s">
        <v>8</v>
      </c>
      <c r="F43" s="4" t="s">
        <v>30</v>
      </c>
      <c r="G43" s="4" t="s">
        <v>83</v>
      </c>
      <c r="H43" s="4" t="s">
        <v>84</v>
      </c>
      <c r="I43" s="32"/>
      <c r="J43" s="133" t="s">
        <v>85</v>
      </c>
    </row>
    <row r="44" spans="1:10" ht="22.5" customHeight="1" x14ac:dyDescent="0.15">
      <c r="A44" s="125"/>
      <c r="B44" s="126"/>
      <c r="C44" s="126"/>
      <c r="D44" s="126"/>
      <c r="E44" s="4" t="s">
        <v>13</v>
      </c>
      <c r="F44" s="5">
        <v>0</v>
      </c>
      <c r="G44" s="5">
        <v>45</v>
      </c>
      <c r="H44" s="5">
        <v>65</v>
      </c>
      <c r="I44" s="8"/>
      <c r="J44" s="133"/>
    </row>
    <row r="45" spans="1:10" ht="31.5" customHeight="1" x14ac:dyDescent="0.15">
      <c r="A45" s="125"/>
      <c r="B45" s="126"/>
      <c r="C45" s="126" t="s">
        <v>86</v>
      </c>
      <c r="D45" s="126" t="s">
        <v>87</v>
      </c>
      <c r="E45" s="4" t="s">
        <v>8</v>
      </c>
      <c r="F45" s="4" t="s">
        <v>88</v>
      </c>
      <c r="G45" s="4" t="s">
        <v>89</v>
      </c>
      <c r="H45" s="4" t="s">
        <v>90</v>
      </c>
      <c r="I45" s="32"/>
      <c r="J45" s="135" t="s">
        <v>91</v>
      </c>
    </row>
    <row r="46" spans="1:10" ht="31.5" customHeight="1" x14ac:dyDescent="0.15">
      <c r="A46" s="125"/>
      <c r="B46" s="126"/>
      <c r="C46" s="126"/>
      <c r="D46" s="126"/>
      <c r="E46" s="4" t="s">
        <v>13</v>
      </c>
      <c r="F46" s="5">
        <v>0</v>
      </c>
      <c r="G46" s="5">
        <v>30</v>
      </c>
      <c r="H46" s="5">
        <v>65</v>
      </c>
      <c r="I46" s="8"/>
      <c r="J46" s="136"/>
    </row>
    <row r="47" spans="1:10" ht="26.25" customHeight="1" x14ac:dyDescent="0.15">
      <c r="A47" s="125">
        <v>5</v>
      </c>
      <c r="B47" s="126" t="s">
        <v>111</v>
      </c>
      <c r="C47" s="126" t="s">
        <v>112</v>
      </c>
      <c r="D47" s="126" t="s">
        <v>113</v>
      </c>
      <c r="E47" s="4" t="s">
        <v>8</v>
      </c>
      <c r="F47" s="5" t="s">
        <v>114</v>
      </c>
      <c r="G47" s="5" t="s">
        <v>115</v>
      </c>
      <c r="H47" s="5" t="s">
        <v>77</v>
      </c>
      <c r="I47" s="33"/>
      <c r="J47" s="126" t="s">
        <v>116</v>
      </c>
    </row>
    <row r="48" spans="1:10" ht="26.25" customHeight="1" x14ac:dyDescent="0.15">
      <c r="A48" s="125"/>
      <c r="B48" s="126"/>
      <c r="C48" s="126"/>
      <c r="D48" s="126"/>
      <c r="E48" s="4" t="s">
        <v>13</v>
      </c>
      <c r="F48" s="5">
        <v>15</v>
      </c>
      <c r="G48" s="5">
        <v>30</v>
      </c>
      <c r="H48" s="5">
        <v>50</v>
      </c>
      <c r="I48" s="8"/>
      <c r="J48" s="126"/>
    </row>
    <row r="49" spans="1:10" ht="41.25" customHeight="1" x14ac:dyDescent="0.15">
      <c r="A49" s="125"/>
      <c r="B49" s="126"/>
      <c r="C49" s="126" t="s">
        <v>330</v>
      </c>
      <c r="D49" s="126" t="s">
        <v>331</v>
      </c>
      <c r="E49" s="4" t="s">
        <v>8</v>
      </c>
      <c r="F49" s="5" t="s">
        <v>75</v>
      </c>
      <c r="G49" s="5" t="s">
        <v>103</v>
      </c>
      <c r="H49" s="5" t="s">
        <v>11</v>
      </c>
      <c r="I49" s="33"/>
      <c r="J49" s="130" t="s">
        <v>117</v>
      </c>
    </row>
    <row r="50" spans="1:10" ht="41.25" customHeight="1" x14ac:dyDescent="0.15">
      <c r="A50" s="125"/>
      <c r="B50" s="126"/>
      <c r="C50" s="126"/>
      <c r="D50" s="126"/>
      <c r="E50" s="4" t="s">
        <v>13</v>
      </c>
      <c r="F50" s="5">
        <v>15</v>
      </c>
      <c r="G50" s="5">
        <v>25</v>
      </c>
      <c r="H50" s="5">
        <v>40</v>
      </c>
      <c r="I50" s="8"/>
      <c r="J50" s="132"/>
    </row>
    <row r="51" spans="1:10" ht="40.5" customHeight="1" x14ac:dyDescent="0.15">
      <c r="A51" s="125"/>
      <c r="B51" s="126"/>
      <c r="C51" s="126" t="s">
        <v>79</v>
      </c>
      <c r="D51" s="126" t="s">
        <v>118</v>
      </c>
      <c r="E51" s="4" t="s">
        <v>8</v>
      </c>
      <c r="F51" s="5" t="s">
        <v>75</v>
      </c>
      <c r="G51" s="5" t="s">
        <v>103</v>
      </c>
      <c r="H51" s="5" t="s">
        <v>11</v>
      </c>
      <c r="I51" s="33"/>
      <c r="J51" s="126" t="s">
        <v>119</v>
      </c>
    </row>
    <row r="52" spans="1:10" ht="40.5" customHeight="1" x14ac:dyDescent="0.15">
      <c r="A52" s="125"/>
      <c r="B52" s="126"/>
      <c r="C52" s="126"/>
      <c r="D52" s="126"/>
      <c r="E52" s="4" t="s">
        <v>13</v>
      </c>
      <c r="F52" s="5">
        <v>15</v>
      </c>
      <c r="G52" s="5">
        <v>30</v>
      </c>
      <c r="H52" s="5">
        <v>50</v>
      </c>
      <c r="I52" s="8"/>
      <c r="J52" s="126"/>
    </row>
    <row r="53" spans="1:10" ht="24" customHeight="1" x14ac:dyDescent="0.15">
      <c r="A53" s="125">
        <v>6</v>
      </c>
      <c r="B53" s="126" t="s">
        <v>120</v>
      </c>
      <c r="C53" s="126" t="s">
        <v>122</v>
      </c>
      <c r="D53" s="126" t="s">
        <v>102</v>
      </c>
      <c r="E53" s="4" t="s">
        <v>8</v>
      </c>
      <c r="F53" s="5" t="s">
        <v>75</v>
      </c>
      <c r="G53" s="5" t="s">
        <v>103</v>
      </c>
      <c r="H53" s="5" t="s">
        <v>11</v>
      </c>
      <c r="I53" s="33"/>
      <c r="J53" s="133" t="s">
        <v>104</v>
      </c>
    </row>
    <row r="54" spans="1:10" ht="30.75" customHeight="1" x14ac:dyDescent="0.15">
      <c r="A54" s="125"/>
      <c r="B54" s="126"/>
      <c r="C54" s="126"/>
      <c r="D54" s="126"/>
      <c r="E54" s="4" t="s">
        <v>13</v>
      </c>
      <c r="F54" s="5">
        <v>10</v>
      </c>
      <c r="G54" s="5">
        <v>20</v>
      </c>
      <c r="H54" s="5">
        <v>40</v>
      </c>
      <c r="I54" s="8"/>
      <c r="J54" s="133"/>
    </row>
    <row r="55" spans="1:10" ht="40.5" customHeight="1" x14ac:dyDescent="0.15">
      <c r="A55" s="125"/>
      <c r="B55" s="126"/>
      <c r="C55" s="126" t="s">
        <v>123</v>
      </c>
      <c r="D55" s="126" t="s">
        <v>105</v>
      </c>
      <c r="E55" s="4" t="s">
        <v>8</v>
      </c>
      <c r="F55" s="4" t="s">
        <v>40</v>
      </c>
      <c r="G55" s="6" t="s">
        <v>106</v>
      </c>
      <c r="H55" s="4" t="s">
        <v>55</v>
      </c>
      <c r="I55" s="32"/>
      <c r="J55" s="133" t="s">
        <v>107</v>
      </c>
    </row>
    <row r="56" spans="1:10" ht="44.25" customHeight="1" x14ac:dyDescent="0.15">
      <c r="A56" s="125"/>
      <c r="B56" s="126"/>
      <c r="C56" s="126"/>
      <c r="D56" s="126"/>
      <c r="E56" s="4" t="s">
        <v>13</v>
      </c>
      <c r="F56" s="5">
        <v>10</v>
      </c>
      <c r="G56" s="5">
        <v>30</v>
      </c>
      <c r="H56" s="5" t="s">
        <v>108</v>
      </c>
      <c r="I56" s="8"/>
      <c r="J56" s="133"/>
    </row>
    <row r="57" spans="1:10" ht="32.25" customHeight="1" x14ac:dyDescent="0.15">
      <c r="A57" s="125"/>
      <c r="B57" s="126"/>
      <c r="C57" s="126" t="s">
        <v>124</v>
      </c>
      <c r="D57" s="126" t="s">
        <v>109</v>
      </c>
      <c r="E57" s="4" t="s">
        <v>8</v>
      </c>
      <c r="F57" s="4" t="s">
        <v>40</v>
      </c>
      <c r="G57" s="4" t="s">
        <v>106</v>
      </c>
      <c r="H57" s="4" t="s">
        <v>55</v>
      </c>
      <c r="I57" s="32"/>
      <c r="J57" s="133" t="s">
        <v>110</v>
      </c>
    </row>
    <row r="58" spans="1:10" ht="52.5" customHeight="1" x14ac:dyDescent="0.15">
      <c r="A58" s="125"/>
      <c r="B58" s="126"/>
      <c r="C58" s="126"/>
      <c r="D58" s="126"/>
      <c r="E58" s="4" t="s">
        <v>13</v>
      </c>
      <c r="F58" s="5">
        <v>10</v>
      </c>
      <c r="G58" s="5">
        <v>30</v>
      </c>
      <c r="H58" s="5" t="s">
        <v>108</v>
      </c>
      <c r="I58" s="8"/>
      <c r="J58" s="133"/>
    </row>
    <row r="61" spans="1:10" ht="25.5" customHeight="1" x14ac:dyDescent="0.15">
      <c r="B61" s="122" t="s">
        <v>254</v>
      </c>
      <c r="C61" s="123"/>
      <c r="D61" s="123"/>
      <c r="E61" s="123"/>
      <c r="F61" s="123"/>
      <c r="G61" s="123"/>
      <c r="H61" s="123"/>
      <c r="I61" s="123"/>
    </row>
    <row r="62" spans="1:10" ht="35.25" customHeight="1" x14ac:dyDescent="0.15">
      <c r="B62" s="2" t="s">
        <v>244</v>
      </c>
      <c r="C62" s="125" t="s">
        <v>243</v>
      </c>
      <c r="D62" s="125"/>
      <c r="E62" s="2" t="s">
        <v>248</v>
      </c>
      <c r="F62" s="11" t="s">
        <v>285</v>
      </c>
      <c r="G62" s="11" t="s">
        <v>284</v>
      </c>
      <c r="H62" s="9" t="s">
        <v>247</v>
      </c>
      <c r="I62" s="2" t="s">
        <v>250</v>
      </c>
    </row>
    <row r="63" spans="1:10" ht="17.25" customHeight="1" x14ac:dyDescent="0.15">
      <c r="B63" s="2">
        <v>1</v>
      </c>
      <c r="C63" s="130" t="s">
        <v>93</v>
      </c>
      <c r="D63" s="7" t="s">
        <v>132</v>
      </c>
      <c r="E63" s="2">
        <f>I4</f>
        <v>0</v>
      </c>
      <c r="F63" s="60">
        <f>IF($E$70,E63/$E$70,0)</f>
        <v>0</v>
      </c>
      <c r="G63" s="60">
        <f>3*(F63)^3-5.5*(F63)^2+3.5*F63</f>
        <v>0</v>
      </c>
      <c r="H63" s="60">
        <f>E63*G63</f>
        <v>0</v>
      </c>
      <c r="I63" s="60"/>
    </row>
    <row r="64" spans="1:10" ht="17.25" customHeight="1" x14ac:dyDescent="0.15">
      <c r="B64" s="2">
        <v>2</v>
      </c>
      <c r="C64" s="131"/>
      <c r="D64" s="7" t="s">
        <v>133</v>
      </c>
      <c r="E64" s="2">
        <f>I6</f>
        <v>0</v>
      </c>
      <c r="F64" s="60">
        <f t="shared" ref="F64:F69" si="0">IF($E$70,E64/$E$70,0)</f>
        <v>0</v>
      </c>
      <c r="G64" s="60">
        <f>3*(F64)^3-5.5*(F64)^2+3.5*F64</f>
        <v>0</v>
      </c>
      <c r="H64" s="60">
        <f>E64*G64</f>
        <v>0</v>
      </c>
      <c r="I64" s="60"/>
    </row>
    <row r="65" spans="2:9" ht="17.25" customHeight="1" x14ac:dyDescent="0.15">
      <c r="B65" s="2">
        <v>3</v>
      </c>
      <c r="C65" s="131"/>
      <c r="D65" s="7" t="s">
        <v>17</v>
      </c>
      <c r="E65" s="2">
        <f>I8</f>
        <v>45</v>
      </c>
      <c r="F65" s="60">
        <f t="shared" si="0"/>
        <v>0.45</v>
      </c>
      <c r="G65" s="60">
        <f t="shared" ref="G65:G69" si="1">3*(F65)^3-5.5*(F65)^2+3.5*F65</f>
        <v>0.73462499999999997</v>
      </c>
      <c r="H65" s="60">
        <f>E65*G65</f>
        <v>33.058124999999997</v>
      </c>
      <c r="I65" s="60"/>
    </row>
    <row r="66" spans="2:9" ht="17.25" customHeight="1" x14ac:dyDescent="0.15">
      <c r="B66" s="2">
        <v>4</v>
      </c>
      <c r="C66" s="131"/>
      <c r="D66" s="7" t="s">
        <v>134</v>
      </c>
      <c r="E66" s="2">
        <f>I10</f>
        <v>40</v>
      </c>
      <c r="F66" s="60">
        <f t="shared" si="0"/>
        <v>0.4</v>
      </c>
      <c r="G66" s="60">
        <f t="shared" si="1"/>
        <v>0.71200000000000008</v>
      </c>
      <c r="H66" s="60">
        <f t="shared" ref="H66:H69" si="2">E66*G66</f>
        <v>28.480000000000004</v>
      </c>
      <c r="I66" s="60"/>
    </row>
    <row r="67" spans="2:9" ht="17.25" customHeight="1" x14ac:dyDescent="0.15">
      <c r="B67" s="2">
        <v>5</v>
      </c>
      <c r="C67" s="131"/>
      <c r="D67" s="31" t="s">
        <v>374</v>
      </c>
      <c r="E67" s="2">
        <f>I12</f>
        <v>0</v>
      </c>
      <c r="F67" s="60">
        <f>IF($E$70,E67/$E$70,0)</f>
        <v>0</v>
      </c>
      <c r="G67" s="60">
        <f t="shared" si="1"/>
        <v>0</v>
      </c>
      <c r="H67" s="60">
        <f t="shared" si="2"/>
        <v>0</v>
      </c>
      <c r="I67" s="60"/>
    </row>
    <row r="68" spans="2:9" ht="17.25" customHeight="1" x14ac:dyDescent="0.15">
      <c r="B68" s="2">
        <v>6</v>
      </c>
      <c r="C68" s="131"/>
      <c r="D68" s="7" t="s">
        <v>28</v>
      </c>
      <c r="E68" s="2">
        <f>I14</f>
        <v>0</v>
      </c>
      <c r="F68" s="60">
        <f t="shared" si="0"/>
        <v>0</v>
      </c>
      <c r="G68" s="60">
        <f t="shared" si="1"/>
        <v>0</v>
      </c>
      <c r="H68" s="60">
        <f t="shared" si="2"/>
        <v>0</v>
      </c>
      <c r="I68" s="60"/>
    </row>
    <row r="69" spans="2:9" ht="17.25" customHeight="1" x14ac:dyDescent="0.15">
      <c r="B69" s="2">
        <v>7</v>
      </c>
      <c r="C69" s="132"/>
      <c r="D69" s="7" t="s">
        <v>34</v>
      </c>
      <c r="E69" s="2">
        <f>I16</f>
        <v>15</v>
      </c>
      <c r="F69" s="60">
        <f t="shared" si="0"/>
        <v>0.15</v>
      </c>
      <c r="G69" s="60">
        <f t="shared" si="1"/>
        <v>0.41137500000000005</v>
      </c>
      <c r="H69" s="60">
        <f t="shared" si="2"/>
        <v>6.1706250000000011</v>
      </c>
      <c r="I69" s="60"/>
    </row>
    <row r="70" spans="2:9" ht="17.25" customHeight="1" x14ac:dyDescent="0.15">
      <c r="B70" s="2" t="s">
        <v>249</v>
      </c>
      <c r="C70" s="3"/>
      <c r="D70" s="3"/>
      <c r="E70" s="2">
        <f>SUM(E63:E69)</f>
        <v>100</v>
      </c>
      <c r="F70" s="2"/>
      <c r="G70" s="2"/>
      <c r="H70" s="60">
        <f>SUM(H63:H69)</f>
        <v>67.708750000000009</v>
      </c>
      <c r="I70" s="108">
        <f>100-H70</f>
        <v>32.291249999999991</v>
      </c>
    </row>
    <row r="72" spans="2:9" ht="18.75" x14ac:dyDescent="0.15">
      <c r="B72" s="2" t="s">
        <v>244</v>
      </c>
      <c r="C72" s="125" t="s">
        <v>243</v>
      </c>
      <c r="D72" s="125"/>
      <c r="E72" s="2" t="s">
        <v>248</v>
      </c>
      <c r="F72" s="60" t="s">
        <v>245</v>
      </c>
      <c r="G72" s="60" t="s">
        <v>246</v>
      </c>
      <c r="H72" s="9" t="s">
        <v>247</v>
      </c>
      <c r="I72" s="2" t="s">
        <v>250</v>
      </c>
    </row>
    <row r="73" spans="2:9" ht="17.25" customHeight="1" x14ac:dyDescent="0.15">
      <c r="B73" s="1">
        <v>1</v>
      </c>
      <c r="C73" s="126" t="s">
        <v>251</v>
      </c>
      <c r="D73" s="7" t="s">
        <v>283</v>
      </c>
      <c r="E73" s="1">
        <f>I18</f>
        <v>15</v>
      </c>
      <c r="F73" s="60">
        <f>IF($E$75,E73/$E$75,0)</f>
        <v>1</v>
      </c>
      <c r="G73" s="60">
        <f t="shared" ref="G73" si="3">3*(F73)^3-5.5*(F73)^2+3.5*F73</f>
        <v>1</v>
      </c>
      <c r="H73" s="60">
        <f t="shared" ref="H73" si="4">E73*G73</f>
        <v>15</v>
      </c>
      <c r="I73" s="109"/>
    </row>
    <row r="74" spans="2:9" ht="17.25" customHeight="1" x14ac:dyDescent="0.15">
      <c r="B74" s="1">
        <v>2</v>
      </c>
      <c r="C74" s="126"/>
      <c r="D74" s="31" t="s">
        <v>375</v>
      </c>
      <c r="E74" s="1">
        <f>I20</f>
        <v>0</v>
      </c>
      <c r="F74" s="60">
        <f>IF($E$75,E74/$E$75,0)</f>
        <v>0</v>
      </c>
      <c r="G74" s="60">
        <f t="shared" ref="G74" si="5">3*(F74)^3-5.5*(F74)^2+3.5*F74</f>
        <v>0</v>
      </c>
      <c r="H74" s="60">
        <f t="shared" ref="H74" si="6">E74*G74</f>
        <v>0</v>
      </c>
      <c r="I74" s="109"/>
    </row>
    <row r="75" spans="2:9" ht="17.25" customHeight="1" x14ac:dyDescent="0.15">
      <c r="B75" s="1" t="s">
        <v>249</v>
      </c>
      <c r="C75" s="1"/>
      <c r="D75" s="1"/>
      <c r="E75" s="1">
        <f>SUM(E73:E74)</f>
        <v>15</v>
      </c>
      <c r="F75" s="1"/>
      <c r="G75" s="1"/>
      <c r="H75" s="109">
        <f>SUM(H73:H74)</f>
        <v>15</v>
      </c>
      <c r="I75" s="110">
        <f>100-H75</f>
        <v>85</v>
      </c>
    </row>
    <row r="77" spans="2:9" ht="18.75" x14ac:dyDescent="0.15">
      <c r="B77" s="2" t="s">
        <v>244</v>
      </c>
      <c r="C77" s="125" t="s">
        <v>243</v>
      </c>
      <c r="D77" s="125"/>
      <c r="E77" s="2" t="s">
        <v>248</v>
      </c>
      <c r="F77" s="2" t="s">
        <v>245</v>
      </c>
      <c r="G77" s="2" t="s">
        <v>246</v>
      </c>
      <c r="H77" s="9" t="s">
        <v>247</v>
      </c>
      <c r="I77" s="2" t="s">
        <v>250</v>
      </c>
    </row>
    <row r="78" spans="2:9" x14ac:dyDescent="0.15">
      <c r="B78" s="1">
        <v>1</v>
      </c>
      <c r="C78" s="127" t="s">
        <v>96</v>
      </c>
      <c r="D78" s="31" t="s">
        <v>272</v>
      </c>
      <c r="E78" s="1">
        <f>I22</f>
        <v>0</v>
      </c>
      <c r="F78" s="60">
        <f>IF($E$87,E78/$E$87,0)</f>
        <v>0</v>
      </c>
      <c r="G78" s="60">
        <f t="shared" ref="G78" si="7">3*(F78)^3-5.5*(F78)^2+3.5*F78</f>
        <v>0</v>
      </c>
      <c r="H78" s="60">
        <f t="shared" ref="H78" si="8">E78*G78</f>
        <v>0</v>
      </c>
      <c r="I78" s="109"/>
    </row>
    <row r="79" spans="2:9" x14ac:dyDescent="0.15">
      <c r="B79" s="1">
        <v>2</v>
      </c>
      <c r="C79" s="128"/>
      <c r="D79" s="31" t="s">
        <v>273</v>
      </c>
      <c r="E79" s="1">
        <f>I24</f>
        <v>0</v>
      </c>
      <c r="F79" s="60">
        <f t="shared" ref="F79:F86" si="9">IF($E$87,E79/$E$87,0)</f>
        <v>0</v>
      </c>
      <c r="G79" s="60">
        <f t="shared" ref="G79:G86" si="10">3*(F79)^3-5.5*(F79)^2+3.5*F79</f>
        <v>0</v>
      </c>
      <c r="H79" s="60">
        <f t="shared" ref="H79:H86" si="11">E79*G79</f>
        <v>0</v>
      </c>
      <c r="I79" s="109"/>
    </row>
    <row r="80" spans="2:9" x14ac:dyDescent="0.15">
      <c r="B80" s="1">
        <v>3</v>
      </c>
      <c r="C80" s="128"/>
      <c r="D80" s="30" t="s">
        <v>377</v>
      </c>
      <c r="E80" s="1">
        <f>I26</f>
        <v>0</v>
      </c>
      <c r="F80" s="60">
        <f t="shared" si="9"/>
        <v>0</v>
      </c>
      <c r="G80" s="60">
        <f t="shared" si="10"/>
        <v>0</v>
      </c>
      <c r="H80" s="60">
        <f t="shared" si="11"/>
        <v>0</v>
      </c>
      <c r="I80" s="109"/>
    </row>
    <row r="81" spans="2:9" x14ac:dyDescent="0.15">
      <c r="B81" s="1">
        <v>4</v>
      </c>
      <c r="C81" s="128"/>
      <c r="D81" s="31" t="s">
        <v>378</v>
      </c>
      <c r="E81" s="1">
        <f>I28</f>
        <v>0</v>
      </c>
      <c r="F81" s="60">
        <f t="shared" si="9"/>
        <v>0</v>
      </c>
      <c r="G81" s="60">
        <f t="shared" si="10"/>
        <v>0</v>
      </c>
      <c r="H81" s="60">
        <f t="shared" si="11"/>
        <v>0</v>
      </c>
      <c r="I81" s="109"/>
    </row>
    <row r="82" spans="2:9" x14ac:dyDescent="0.15">
      <c r="B82" s="1">
        <v>5</v>
      </c>
      <c r="C82" s="128"/>
      <c r="D82" s="31" t="s">
        <v>274</v>
      </c>
      <c r="E82" s="1">
        <f>I30</f>
        <v>0</v>
      </c>
      <c r="F82" s="60">
        <f t="shared" si="9"/>
        <v>0</v>
      </c>
      <c r="G82" s="60">
        <f t="shared" si="10"/>
        <v>0</v>
      </c>
      <c r="H82" s="60">
        <f t="shared" si="11"/>
        <v>0</v>
      </c>
      <c r="I82" s="109"/>
    </row>
    <row r="83" spans="2:9" x14ac:dyDescent="0.15">
      <c r="B83" s="1">
        <v>6</v>
      </c>
      <c r="C83" s="128"/>
      <c r="D83" s="31" t="s">
        <v>275</v>
      </c>
      <c r="E83" s="1">
        <f>I32</f>
        <v>0</v>
      </c>
      <c r="F83" s="60">
        <f t="shared" si="9"/>
        <v>0</v>
      </c>
      <c r="G83" s="60">
        <f t="shared" si="10"/>
        <v>0</v>
      </c>
      <c r="H83" s="60">
        <f t="shared" si="11"/>
        <v>0</v>
      </c>
      <c r="I83" s="109"/>
    </row>
    <row r="84" spans="2:9" x14ac:dyDescent="0.15">
      <c r="B84" s="1">
        <v>7</v>
      </c>
      <c r="C84" s="128"/>
      <c r="D84" s="31" t="s">
        <v>276</v>
      </c>
      <c r="E84" s="1">
        <f>I34</f>
        <v>0</v>
      </c>
      <c r="F84" s="60">
        <f t="shared" si="9"/>
        <v>0</v>
      </c>
      <c r="G84" s="60">
        <f t="shared" si="10"/>
        <v>0</v>
      </c>
      <c r="H84" s="60">
        <f t="shared" si="11"/>
        <v>0</v>
      </c>
      <c r="I84" s="109"/>
    </row>
    <row r="85" spans="2:9" x14ac:dyDescent="0.15">
      <c r="B85" s="1">
        <v>8</v>
      </c>
      <c r="C85" s="128"/>
      <c r="D85" s="31" t="s">
        <v>379</v>
      </c>
      <c r="E85" s="1">
        <f>I36</f>
        <v>0</v>
      </c>
      <c r="F85" s="60">
        <f t="shared" si="9"/>
        <v>0</v>
      </c>
      <c r="G85" s="60">
        <f t="shared" si="10"/>
        <v>0</v>
      </c>
      <c r="H85" s="60">
        <f t="shared" si="11"/>
        <v>0</v>
      </c>
      <c r="I85" s="109"/>
    </row>
    <row r="86" spans="2:9" x14ac:dyDescent="0.15">
      <c r="B86" s="1">
        <v>9</v>
      </c>
      <c r="C86" s="129"/>
      <c r="D86" s="31" t="s">
        <v>277</v>
      </c>
      <c r="E86" s="1">
        <f>I38</f>
        <v>0</v>
      </c>
      <c r="F86" s="60">
        <f t="shared" si="9"/>
        <v>0</v>
      </c>
      <c r="G86" s="60">
        <f t="shared" si="10"/>
        <v>0</v>
      </c>
      <c r="H86" s="60">
        <f t="shared" si="11"/>
        <v>0</v>
      </c>
      <c r="I86" s="109"/>
    </row>
    <row r="87" spans="2:9" x14ac:dyDescent="0.15">
      <c r="B87" s="1" t="s">
        <v>252</v>
      </c>
      <c r="C87" s="1"/>
      <c r="D87" s="1"/>
      <c r="E87" s="1">
        <f>SUM(E78:E86)</f>
        <v>0</v>
      </c>
      <c r="F87" s="1"/>
      <c r="G87" s="1"/>
      <c r="H87" s="109">
        <f>SUM(H78:H86)</f>
        <v>0</v>
      </c>
      <c r="I87" s="110">
        <f>100-H87</f>
        <v>100</v>
      </c>
    </row>
    <row r="89" spans="2:9" ht="18.75" x14ac:dyDescent="0.15">
      <c r="B89" s="2" t="s">
        <v>244</v>
      </c>
      <c r="C89" s="125" t="s">
        <v>243</v>
      </c>
      <c r="D89" s="125"/>
      <c r="E89" s="2" t="s">
        <v>248</v>
      </c>
      <c r="F89" s="2" t="s">
        <v>245</v>
      </c>
      <c r="G89" s="2" t="s">
        <v>246</v>
      </c>
      <c r="H89" s="9" t="s">
        <v>247</v>
      </c>
      <c r="I89" s="2" t="s">
        <v>250</v>
      </c>
    </row>
    <row r="90" spans="2:9" ht="15" customHeight="1" x14ac:dyDescent="0.15">
      <c r="B90" s="2">
        <v>1</v>
      </c>
      <c r="C90" s="125" t="s">
        <v>99</v>
      </c>
      <c r="D90" s="7" t="s">
        <v>278</v>
      </c>
      <c r="E90" s="2">
        <f>I40</f>
        <v>0</v>
      </c>
      <c r="F90" s="60">
        <f>IF($E$94,E90/$E$94,0)</f>
        <v>0</v>
      </c>
      <c r="G90" s="60">
        <f>3*(F90)^3-5.5*(F90)^2+3.5*F90</f>
        <v>0</v>
      </c>
      <c r="H90" s="60">
        <f>E90*G90</f>
        <v>0</v>
      </c>
      <c r="I90" s="60"/>
    </row>
    <row r="91" spans="2:9" ht="15" customHeight="1" x14ac:dyDescent="0.15">
      <c r="B91" s="2">
        <v>2</v>
      </c>
      <c r="C91" s="125"/>
      <c r="D91" s="7" t="s">
        <v>128</v>
      </c>
      <c r="E91" s="2">
        <f>I42</f>
        <v>0</v>
      </c>
      <c r="F91" s="60">
        <f t="shared" ref="F91:F93" si="12">IF($E$94,E91/$E$94,0)</f>
        <v>0</v>
      </c>
      <c r="G91" s="60">
        <f t="shared" ref="G91:G93" si="13">3*(F91)^3-5.5*(F91)^2+3.5*F91</f>
        <v>0</v>
      </c>
      <c r="H91" s="60">
        <f t="shared" ref="H91:H93" si="14">E91*G91</f>
        <v>0</v>
      </c>
      <c r="I91" s="60"/>
    </row>
    <row r="92" spans="2:9" ht="15" customHeight="1" x14ac:dyDescent="0.15">
      <c r="B92" s="2">
        <v>3</v>
      </c>
      <c r="C92" s="125"/>
      <c r="D92" s="7" t="s">
        <v>129</v>
      </c>
      <c r="E92" s="2">
        <f>I44</f>
        <v>0</v>
      </c>
      <c r="F92" s="60">
        <f t="shared" si="12"/>
        <v>0</v>
      </c>
      <c r="G92" s="60">
        <f t="shared" si="13"/>
        <v>0</v>
      </c>
      <c r="H92" s="60">
        <f t="shared" si="14"/>
        <v>0</v>
      </c>
      <c r="I92" s="60"/>
    </row>
    <row r="93" spans="2:9" ht="15" customHeight="1" x14ac:dyDescent="0.15">
      <c r="B93" s="2">
        <v>4</v>
      </c>
      <c r="C93" s="125"/>
      <c r="D93" s="7" t="s">
        <v>279</v>
      </c>
      <c r="E93" s="2">
        <f>I46</f>
        <v>0</v>
      </c>
      <c r="F93" s="60">
        <f t="shared" si="12"/>
        <v>0</v>
      </c>
      <c r="G93" s="60">
        <f t="shared" si="13"/>
        <v>0</v>
      </c>
      <c r="H93" s="60">
        <f t="shared" si="14"/>
        <v>0</v>
      </c>
      <c r="I93" s="60"/>
    </row>
    <row r="94" spans="2:9" ht="15" customHeight="1" x14ac:dyDescent="0.15">
      <c r="B94" s="2" t="s">
        <v>252</v>
      </c>
      <c r="C94" s="2"/>
      <c r="D94" s="2"/>
      <c r="E94" s="2">
        <f>SUM(E90:E93)</f>
        <v>0</v>
      </c>
      <c r="F94" s="2"/>
      <c r="G94" s="2"/>
      <c r="H94" s="60">
        <f>SUM(H90:H93)</f>
        <v>0</v>
      </c>
      <c r="I94" s="108">
        <f>100-H94</f>
        <v>100</v>
      </c>
    </row>
    <row r="96" spans="2:9" ht="18.75" x14ac:dyDescent="0.15">
      <c r="B96" s="2" t="s">
        <v>244</v>
      </c>
      <c r="C96" s="125" t="s">
        <v>243</v>
      </c>
      <c r="D96" s="125"/>
      <c r="E96" s="2" t="s">
        <v>248</v>
      </c>
      <c r="F96" s="2" t="s">
        <v>245</v>
      </c>
      <c r="G96" s="2" t="s">
        <v>246</v>
      </c>
      <c r="H96" s="9" t="s">
        <v>247</v>
      </c>
      <c r="I96" s="2" t="s">
        <v>250</v>
      </c>
    </row>
    <row r="97" spans="2:9" ht="15.75" customHeight="1" x14ac:dyDescent="0.15">
      <c r="B97" s="2">
        <v>1</v>
      </c>
      <c r="C97" s="125" t="s">
        <v>111</v>
      </c>
      <c r="D97" s="7" t="s">
        <v>280</v>
      </c>
      <c r="E97" s="2">
        <f>I48</f>
        <v>0</v>
      </c>
      <c r="F97" s="60">
        <f>IF($E$100,E97/$E$100,0)</f>
        <v>0</v>
      </c>
      <c r="G97" s="60">
        <f t="shared" ref="G97:G99" si="15">3*(F97)^3-5.5*(F97)^2+3.5*F97</f>
        <v>0</v>
      </c>
      <c r="H97" s="60">
        <f t="shared" ref="H97" si="16">E97*G97</f>
        <v>0</v>
      </c>
      <c r="I97" s="60"/>
    </row>
    <row r="98" spans="2:9" ht="15.75" customHeight="1" x14ac:dyDescent="0.15">
      <c r="B98" s="2">
        <v>2</v>
      </c>
      <c r="C98" s="125"/>
      <c r="D98" s="7" t="s">
        <v>281</v>
      </c>
      <c r="E98" s="2">
        <f>I50</f>
        <v>0</v>
      </c>
      <c r="F98" s="60">
        <f>IF($E$100,E98/$E$100,0)</f>
        <v>0</v>
      </c>
      <c r="G98" s="60">
        <f t="shared" si="15"/>
        <v>0</v>
      </c>
      <c r="H98" s="60">
        <f t="shared" ref="H98:H99" si="17">E98*G98</f>
        <v>0</v>
      </c>
      <c r="I98" s="60"/>
    </row>
    <row r="99" spans="2:9" ht="15.75" customHeight="1" x14ac:dyDescent="0.15">
      <c r="B99" s="2">
        <v>3</v>
      </c>
      <c r="C99" s="125"/>
      <c r="D99" s="7" t="s">
        <v>282</v>
      </c>
      <c r="E99" s="2">
        <f>I52</f>
        <v>0</v>
      </c>
      <c r="F99" s="60">
        <f>IF($E$100,E99/$E$100,0)</f>
        <v>0</v>
      </c>
      <c r="G99" s="60">
        <f t="shared" si="15"/>
        <v>0</v>
      </c>
      <c r="H99" s="60">
        <f t="shared" si="17"/>
        <v>0</v>
      </c>
      <c r="I99" s="60"/>
    </row>
    <row r="100" spans="2:9" ht="15.75" customHeight="1" x14ac:dyDescent="0.15">
      <c r="B100" s="2" t="s">
        <v>249</v>
      </c>
      <c r="C100" s="2"/>
      <c r="D100" s="2"/>
      <c r="E100" s="2">
        <f>SUM(E97:E99)</f>
        <v>0</v>
      </c>
      <c r="F100" s="2"/>
      <c r="G100" s="2"/>
      <c r="H100" s="60">
        <f>SUM(H97:H99)</f>
        <v>0</v>
      </c>
      <c r="I100" s="108">
        <f>100-H100</f>
        <v>100</v>
      </c>
    </row>
    <row r="102" spans="2:9" ht="18.75" x14ac:dyDescent="0.15">
      <c r="B102" s="2" t="s">
        <v>244</v>
      </c>
      <c r="C102" s="125" t="s">
        <v>243</v>
      </c>
      <c r="D102" s="125"/>
      <c r="E102" s="2" t="s">
        <v>248</v>
      </c>
      <c r="F102" s="2" t="s">
        <v>245</v>
      </c>
      <c r="G102" s="2" t="s">
        <v>246</v>
      </c>
      <c r="H102" s="9" t="s">
        <v>247</v>
      </c>
      <c r="I102" s="2" t="s">
        <v>250</v>
      </c>
    </row>
    <row r="103" spans="2:9" ht="15" customHeight="1" x14ac:dyDescent="0.15">
      <c r="B103" s="2">
        <v>1</v>
      </c>
      <c r="C103" s="124" t="s">
        <v>253</v>
      </c>
      <c r="D103" s="7" t="s">
        <v>122</v>
      </c>
      <c r="E103" s="2">
        <f>I54</f>
        <v>0</v>
      </c>
      <c r="F103" s="2">
        <f>IF($E$106,E103/$E$106,0)</f>
        <v>0</v>
      </c>
      <c r="G103" s="2">
        <f t="shared" ref="G103:G105" si="18">3*(F103)^3-5.5*(F103)^2+3.5*F103</f>
        <v>0</v>
      </c>
      <c r="H103" s="60">
        <f t="shared" ref="H103" si="19">E103*G103</f>
        <v>0</v>
      </c>
      <c r="I103" s="60"/>
    </row>
    <row r="104" spans="2:9" ht="15" customHeight="1" x14ac:dyDescent="0.15">
      <c r="B104" s="2">
        <v>2</v>
      </c>
      <c r="C104" s="125"/>
      <c r="D104" s="7" t="s">
        <v>123</v>
      </c>
      <c r="E104" s="2">
        <f>I56</f>
        <v>0</v>
      </c>
      <c r="F104" s="14">
        <f>IF($E$106,E104/$E$106,0)</f>
        <v>0</v>
      </c>
      <c r="G104" s="2">
        <f t="shared" si="18"/>
        <v>0</v>
      </c>
      <c r="H104" s="60">
        <f t="shared" ref="H104:H105" si="20">E104*G104</f>
        <v>0</v>
      </c>
      <c r="I104" s="60"/>
    </row>
    <row r="105" spans="2:9" ht="15" customHeight="1" x14ac:dyDescent="0.15">
      <c r="B105" s="2">
        <v>3</v>
      </c>
      <c r="C105" s="125"/>
      <c r="D105" s="7" t="s">
        <v>124</v>
      </c>
      <c r="E105" s="2">
        <f>I58</f>
        <v>0</v>
      </c>
      <c r="F105" s="14">
        <f>IF($E$106,E105/$E$106,0)</f>
        <v>0</v>
      </c>
      <c r="G105" s="2">
        <f t="shared" si="18"/>
        <v>0</v>
      </c>
      <c r="H105" s="60">
        <f t="shared" si="20"/>
        <v>0</v>
      </c>
      <c r="I105" s="60"/>
    </row>
    <row r="106" spans="2:9" ht="15" customHeight="1" x14ac:dyDescent="0.15">
      <c r="B106" s="2" t="s">
        <v>252</v>
      </c>
      <c r="C106" s="2"/>
      <c r="D106" s="2"/>
      <c r="E106" s="2">
        <f>SUM(E103:E105)</f>
        <v>0</v>
      </c>
      <c r="F106" s="2"/>
      <c r="G106" s="2"/>
      <c r="H106" s="60">
        <f>SUM(H103:H105)</f>
        <v>0</v>
      </c>
      <c r="I106" s="108">
        <f>100-H106</f>
        <v>100</v>
      </c>
    </row>
    <row r="108" spans="2:9" x14ac:dyDescent="0.15">
      <c r="B108" s="121"/>
      <c r="C108" s="121"/>
      <c r="D108" s="121"/>
      <c r="E108" s="121"/>
      <c r="F108" s="121"/>
      <c r="G108" s="121"/>
      <c r="H108" s="121"/>
      <c r="I108" s="121"/>
    </row>
    <row r="109" spans="2:9" ht="20.25" customHeight="1" x14ac:dyDescent="0.15">
      <c r="B109" s="121"/>
      <c r="C109" s="121"/>
      <c r="D109" s="121"/>
      <c r="E109" s="121"/>
      <c r="F109" s="121"/>
      <c r="G109" s="121"/>
      <c r="H109" s="121"/>
      <c r="I109" s="121"/>
    </row>
  </sheetData>
  <mergeCells count="113">
    <mergeCell ref="D9:D10"/>
    <mergeCell ref="J9:J10"/>
    <mergeCell ref="E2:H2"/>
    <mergeCell ref="D3:D4"/>
    <mergeCell ref="J3:J4"/>
    <mergeCell ref="J49:J50"/>
    <mergeCell ref="C41:C42"/>
    <mergeCell ref="C31:C32"/>
    <mergeCell ref="J31:J32"/>
    <mergeCell ref="C15:C16"/>
    <mergeCell ref="D15:D16"/>
    <mergeCell ref="J15:J16"/>
    <mergeCell ref="C17:C18"/>
    <mergeCell ref="D17:D18"/>
    <mergeCell ref="J17:J18"/>
    <mergeCell ref="C19:C20"/>
    <mergeCell ref="D19:D20"/>
    <mergeCell ref="D33:D34"/>
    <mergeCell ref="J33:J34"/>
    <mergeCell ref="J19:J20"/>
    <mergeCell ref="C27:C28"/>
    <mergeCell ref="D27:D28"/>
    <mergeCell ref="J27:J28"/>
    <mergeCell ref="C29:C30"/>
    <mergeCell ref="B1:J1"/>
    <mergeCell ref="B3:B16"/>
    <mergeCell ref="C3:C4"/>
    <mergeCell ref="C5:C6"/>
    <mergeCell ref="C9:C10"/>
    <mergeCell ref="C23:C24"/>
    <mergeCell ref="D23:D24"/>
    <mergeCell ref="J23:J24"/>
    <mergeCell ref="C25:C26"/>
    <mergeCell ref="D25:D26"/>
    <mergeCell ref="J25:J26"/>
    <mergeCell ref="D21:D22"/>
    <mergeCell ref="J21:J22"/>
    <mergeCell ref="C11:C12"/>
    <mergeCell ref="D11:D12"/>
    <mergeCell ref="J11:J12"/>
    <mergeCell ref="C13:C14"/>
    <mergeCell ref="D13:D14"/>
    <mergeCell ref="J13:J14"/>
    <mergeCell ref="D5:D6"/>
    <mergeCell ref="J5:J6"/>
    <mergeCell ref="C7:C8"/>
    <mergeCell ref="D7:D8"/>
    <mergeCell ref="J7:J8"/>
    <mergeCell ref="A3:A16"/>
    <mergeCell ref="A21:A38"/>
    <mergeCell ref="A39:A46"/>
    <mergeCell ref="A53:A58"/>
    <mergeCell ref="D57:D58"/>
    <mergeCell ref="J57:J58"/>
    <mergeCell ref="B53:B58"/>
    <mergeCell ref="C53:C54"/>
    <mergeCell ref="C55:C56"/>
    <mergeCell ref="C57:C58"/>
    <mergeCell ref="D53:D54"/>
    <mergeCell ref="J53:J54"/>
    <mergeCell ref="D45:D46"/>
    <mergeCell ref="C45:C46"/>
    <mergeCell ref="J45:J46"/>
    <mergeCell ref="B39:B46"/>
    <mergeCell ref="C43:C44"/>
    <mergeCell ref="C39:C40"/>
    <mergeCell ref="D39:D40"/>
    <mergeCell ref="J39:J40"/>
    <mergeCell ref="D41:D42"/>
    <mergeCell ref="J41:J42"/>
    <mergeCell ref="D43:D44"/>
    <mergeCell ref="J43:J44"/>
    <mergeCell ref="A17:A20"/>
    <mergeCell ref="C51:C52"/>
    <mergeCell ref="D51:D52"/>
    <mergeCell ref="J51:J52"/>
    <mergeCell ref="B47:B52"/>
    <mergeCell ref="A47:A52"/>
    <mergeCell ref="D49:D50"/>
    <mergeCell ref="D47:D48"/>
    <mergeCell ref="C47:C48"/>
    <mergeCell ref="J47:J48"/>
    <mergeCell ref="C49:C50"/>
    <mergeCell ref="D35:D36"/>
    <mergeCell ref="J35:J36"/>
    <mergeCell ref="C37:C38"/>
    <mergeCell ref="D37:D38"/>
    <mergeCell ref="J37:J38"/>
    <mergeCell ref="C35:C36"/>
    <mergeCell ref="D31:D32"/>
    <mergeCell ref="D55:D56"/>
    <mergeCell ref="J55:J56"/>
    <mergeCell ref="B21:B38"/>
    <mergeCell ref="C21:C22"/>
    <mergeCell ref="C33:C34"/>
    <mergeCell ref="B17:B20"/>
    <mergeCell ref="D29:D30"/>
    <mergeCell ref="J29:J30"/>
    <mergeCell ref="C97:C99"/>
    <mergeCell ref="C96:D96"/>
    <mergeCell ref="B108:I108"/>
    <mergeCell ref="B109:I109"/>
    <mergeCell ref="B61:I61"/>
    <mergeCell ref="C103:C105"/>
    <mergeCell ref="C102:D102"/>
    <mergeCell ref="C90:C93"/>
    <mergeCell ref="C89:D89"/>
    <mergeCell ref="C73:C74"/>
    <mergeCell ref="C72:D72"/>
    <mergeCell ref="C78:C86"/>
    <mergeCell ref="C77:D77"/>
    <mergeCell ref="C63:C69"/>
    <mergeCell ref="C62:D62"/>
  </mergeCells>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SF45"/>
  <sheetViews>
    <sheetView workbookViewId="0">
      <pane xSplit="8" ySplit="1" topLeftCell="I38" activePane="bottomRight" state="frozen"/>
      <selection pane="topRight" activeCell="I1" sqref="I1"/>
      <selection pane="bottomLeft" activeCell="A2" sqref="A2"/>
      <selection pane="bottomRight" activeCell="B19" sqref="B19:K30"/>
    </sheetView>
  </sheetViews>
  <sheetFormatPr defaultRowHeight="13.5" x14ac:dyDescent="0.15"/>
  <cols>
    <col min="1" max="1" width="5" customWidth="1"/>
    <col min="2" max="2" width="7.25" customWidth="1"/>
    <col min="3" max="3" width="6.625" customWidth="1"/>
    <col min="4" max="4" width="13.375" customWidth="1"/>
    <col min="5" max="5" width="5.5" customWidth="1"/>
    <col min="6" max="6" width="7.125" customWidth="1"/>
    <col min="7" max="7" width="8.25" customWidth="1"/>
    <col min="8" max="8" width="13.625" customWidth="1"/>
    <col min="9" max="408" width="7.75" customWidth="1"/>
  </cols>
  <sheetData>
    <row r="1" spans="1:500" s="39" customFormat="1" ht="34.5" customHeight="1" x14ac:dyDescent="0.15">
      <c r="A1" s="139" t="s">
        <v>165</v>
      </c>
      <c r="B1" s="139"/>
      <c r="C1" s="139"/>
      <c r="D1" s="139"/>
      <c r="E1" s="65"/>
      <c r="F1" s="64" t="s">
        <v>404</v>
      </c>
      <c r="G1" s="63">
        <v>3</v>
      </c>
      <c r="H1" s="66"/>
      <c r="I1" s="40" t="s">
        <v>436</v>
      </c>
      <c r="J1" s="40" t="s">
        <v>441</v>
      </c>
      <c r="K1" s="40" t="s">
        <v>442</v>
      </c>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row>
    <row r="2" spans="1:500" ht="21" customHeight="1" x14ac:dyDescent="0.15">
      <c r="A2" s="36" t="s">
        <v>167</v>
      </c>
      <c r="B2" s="34" t="s">
        <v>126</v>
      </c>
      <c r="C2" s="34" t="s">
        <v>159</v>
      </c>
      <c r="D2" s="34" t="s">
        <v>4</v>
      </c>
      <c r="E2" s="140" t="s">
        <v>5</v>
      </c>
      <c r="F2" s="140"/>
      <c r="G2" s="140"/>
      <c r="H2" s="140"/>
      <c r="I2" s="34" t="s">
        <v>166</v>
      </c>
      <c r="J2" s="115" t="s">
        <v>131</v>
      </c>
      <c r="K2" s="115" t="s">
        <v>131</v>
      </c>
    </row>
    <row r="3" spans="1:500" ht="25.5" customHeight="1" x14ac:dyDescent="0.15">
      <c r="A3" s="147">
        <v>1</v>
      </c>
      <c r="B3" s="142" t="s">
        <v>384</v>
      </c>
      <c r="C3" s="140" t="s">
        <v>333</v>
      </c>
      <c r="D3" s="140" t="s">
        <v>334</v>
      </c>
      <c r="E3" s="34" t="s">
        <v>8</v>
      </c>
      <c r="F3" s="37" t="s">
        <v>9</v>
      </c>
      <c r="G3" s="37" t="s">
        <v>380</v>
      </c>
      <c r="H3" s="37" t="s">
        <v>11</v>
      </c>
      <c r="I3" s="37"/>
      <c r="J3" s="116"/>
      <c r="K3" s="116"/>
    </row>
    <row r="4" spans="1:500" ht="25.5" customHeight="1" x14ac:dyDescent="0.15">
      <c r="A4" s="148"/>
      <c r="B4" s="142"/>
      <c r="C4" s="140"/>
      <c r="D4" s="140"/>
      <c r="E4" s="34" t="s">
        <v>13</v>
      </c>
      <c r="F4" s="37">
        <v>10</v>
      </c>
      <c r="G4" s="37">
        <v>25</v>
      </c>
      <c r="H4" s="37">
        <v>40</v>
      </c>
      <c r="I4" s="38"/>
      <c r="J4" s="38"/>
      <c r="K4" s="38"/>
    </row>
    <row r="5" spans="1:500" ht="25.5" customHeight="1" x14ac:dyDescent="0.15">
      <c r="A5" s="148"/>
      <c r="B5" s="142"/>
      <c r="C5" s="140" t="s">
        <v>135</v>
      </c>
      <c r="D5" s="140" t="s">
        <v>269</v>
      </c>
      <c r="E5" s="34" t="s">
        <v>8</v>
      </c>
      <c r="F5" s="37" t="s">
        <v>136</v>
      </c>
      <c r="G5" s="37" t="s">
        <v>381</v>
      </c>
      <c r="H5" s="37" t="s">
        <v>137</v>
      </c>
      <c r="I5" s="37"/>
      <c r="J5" s="116"/>
      <c r="K5" s="116"/>
    </row>
    <row r="6" spans="1:500" ht="25.5" customHeight="1" x14ac:dyDescent="0.15">
      <c r="A6" s="148"/>
      <c r="B6" s="142"/>
      <c r="C6" s="140"/>
      <c r="D6" s="140"/>
      <c r="E6" s="34" t="s">
        <v>13</v>
      </c>
      <c r="F6" s="37">
        <v>15</v>
      </c>
      <c r="G6" s="37">
        <v>30</v>
      </c>
      <c r="H6" s="37">
        <v>45</v>
      </c>
      <c r="I6" s="38"/>
      <c r="J6" s="38"/>
      <c r="K6" s="38">
        <v>15</v>
      </c>
    </row>
    <row r="7" spans="1:500" ht="25.5" customHeight="1" x14ac:dyDescent="0.15">
      <c r="A7" s="148"/>
      <c r="B7" s="142"/>
      <c r="C7" s="140" t="s">
        <v>121</v>
      </c>
      <c r="D7" s="140" t="s">
        <v>270</v>
      </c>
      <c r="E7" s="34" t="s">
        <v>8</v>
      </c>
      <c r="F7" s="37" t="s">
        <v>136</v>
      </c>
      <c r="G7" s="37" t="s">
        <v>381</v>
      </c>
      <c r="H7" s="37" t="s">
        <v>137</v>
      </c>
      <c r="I7" s="37"/>
      <c r="J7" s="116"/>
      <c r="K7" s="116"/>
    </row>
    <row r="8" spans="1:500" ht="25.5" customHeight="1" x14ac:dyDescent="0.15">
      <c r="A8" s="148"/>
      <c r="B8" s="142"/>
      <c r="C8" s="140"/>
      <c r="D8" s="140"/>
      <c r="E8" s="34" t="s">
        <v>13</v>
      </c>
      <c r="F8" s="37">
        <v>20</v>
      </c>
      <c r="G8" s="37">
        <v>40</v>
      </c>
      <c r="H8" s="37" t="s">
        <v>108</v>
      </c>
      <c r="I8" s="38"/>
      <c r="J8" s="38">
        <v>20</v>
      </c>
      <c r="K8" s="38"/>
    </row>
    <row r="9" spans="1:500" ht="25.5" customHeight="1" x14ac:dyDescent="0.15">
      <c r="A9" s="148"/>
      <c r="B9" s="142"/>
      <c r="C9" s="140" t="s">
        <v>160</v>
      </c>
      <c r="D9" s="140" t="s">
        <v>138</v>
      </c>
      <c r="E9" s="34" t="s">
        <v>8</v>
      </c>
      <c r="F9" s="34" t="s">
        <v>30</v>
      </c>
      <c r="G9" s="34" t="s">
        <v>40</v>
      </c>
      <c r="H9" s="34" t="s">
        <v>41</v>
      </c>
      <c r="I9" s="34"/>
      <c r="J9" s="115"/>
      <c r="K9" s="115"/>
    </row>
    <row r="10" spans="1:500" ht="25.5" customHeight="1" x14ac:dyDescent="0.15">
      <c r="A10" s="148"/>
      <c r="B10" s="142"/>
      <c r="C10" s="140"/>
      <c r="D10" s="140"/>
      <c r="E10" s="34" t="s">
        <v>13</v>
      </c>
      <c r="F10" s="37">
        <v>0</v>
      </c>
      <c r="G10" s="37">
        <v>40</v>
      </c>
      <c r="H10" s="37" t="s">
        <v>108</v>
      </c>
      <c r="I10" s="38"/>
      <c r="J10" s="38"/>
      <c r="K10" s="38"/>
    </row>
    <row r="11" spans="1:500" ht="25.5" customHeight="1" x14ac:dyDescent="0.15">
      <c r="A11" s="148"/>
      <c r="B11" s="142"/>
      <c r="C11" s="140" t="s">
        <v>139</v>
      </c>
      <c r="D11" s="140" t="s">
        <v>140</v>
      </c>
      <c r="E11" s="34" t="s">
        <v>8</v>
      </c>
      <c r="F11" s="34" t="s">
        <v>30</v>
      </c>
      <c r="G11" s="34" t="s">
        <v>41</v>
      </c>
      <c r="H11" s="34" t="s">
        <v>55</v>
      </c>
      <c r="I11" s="34"/>
      <c r="J11" s="115"/>
      <c r="K11" s="115"/>
    </row>
    <row r="12" spans="1:500" ht="25.5" customHeight="1" x14ac:dyDescent="0.15">
      <c r="A12" s="148"/>
      <c r="B12" s="142"/>
      <c r="C12" s="140"/>
      <c r="D12" s="140"/>
      <c r="E12" s="34" t="s">
        <v>13</v>
      </c>
      <c r="F12" s="37">
        <v>0</v>
      </c>
      <c r="G12" s="37">
        <v>35</v>
      </c>
      <c r="H12" s="37" t="s">
        <v>338</v>
      </c>
      <c r="I12" s="38"/>
      <c r="J12" s="38"/>
      <c r="K12" s="38"/>
    </row>
    <row r="13" spans="1:500" ht="25.5" customHeight="1" x14ac:dyDescent="0.15">
      <c r="A13" s="148"/>
      <c r="B13" s="142"/>
      <c r="C13" s="140" t="s">
        <v>141</v>
      </c>
      <c r="D13" s="140" t="s">
        <v>161</v>
      </c>
      <c r="E13" s="34" t="s">
        <v>8</v>
      </c>
      <c r="F13" s="34" t="s">
        <v>30</v>
      </c>
      <c r="G13" s="34" t="s">
        <v>40</v>
      </c>
      <c r="H13" s="34" t="s">
        <v>55</v>
      </c>
      <c r="I13" s="34"/>
      <c r="J13" s="115"/>
      <c r="K13" s="115"/>
    </row>
    <row r="14" spans="1:500" ht="25.5" customHeight="1" x14ac:dyDescent="0.15">
      <c r="A14" s="148"/>
      <c r="B14" s="142"/>
      <c r="C14" s="140"/>
      <c r="D14" s="140"/>
      <c r="E14" s="34" t="s">
        <v>13</v>
      </c>
      <c r="F14" s="37">
        <v>0</v>
      </c>
      <c r="G14" s="37">
        <v>15</v>
      </c>
      <c r="H14" s="37">
        <v>40</v>
      </c>
      <c r="I14" s="38"/>
      <c r="J14" s="38"/>
      <c r="K14" s="38"/>
    </row>
    <row r="15" spans="1:500" ht="25.5" customHeight="1" x14ac:dyDescent="0.15">
      <c r="A15" s="148"/>
      <c r="B15" s="142"/>
      <c r="C15" s="140" t="s">
        <v>28</v>
      </c>
      <c r="D15" s="140" t="s">
        <v>142</v>
      </c>
      <c r="E15" s="34" t="s">
        <v>8</v>
      </c>
      <c r="F15" s="34" t="s">
        <v>30</v>
      </c>
      <c r="G15" s="34" t="s">
        <v>143</v>
      </c>
      <c r="H15" s="34" t="s">
        <v>32</v>
      </c>
      <c r="I15" s="34"/>
      <c r="J15" s="115"/>
      <c r="K15" s="115"/>
    </row>
    <row r="16" spans="1:500" ht="25.5" customHeight="1" x14ac:dyDescent="0.15">
      <c r="A16" s="148"/>
      <c r="B16" s="142"/>
      <c r="C16" s="140"/>
      <c r="D16" s="140"/>
      <c r="E16" s="34" t="s">
        <v>13</v>
      </c>
      <c r="F16" s="37">
        <v>0</v>
      </c>
      <c r="G16" s="37">
        <v>25</v>
      </c>
      <c r="H16" s="37">
        <v>30</v>
      </c>
      <c r="I16" s="38"/>
      <c r="J16" s="38"/>
      <c r="K16" s="38"/>
    </row>
    <row r="17" spans="1:11" ht="25.5" customHeight="1" x14ac:dyDescent="0.15">
      <c r="A17" s="148"/>
      <c r="B17" s="142"/>
      <c r="C17" s="140" t="s">
        <v>332</v>
      </c>
      <c r="D17" s="140" t="s">
        <v>335</v>
      </c>
      <c r="E17" s="34" t="s">
        <v>8</v>
      </c>
      <c r="F17" s="34" t="s">
        <v>30</v>
      </c>
      <c r="G17" s="34" t="s">
        <v>336</v>
      </c>
      <c r="H17" s="34" t="s">
        <v>337</v>
      </c>
      <c r="I17" s="34"/>
      <c r="J17" s="115"/>
      <c r="K17" s="115"/>
    </row>
    <row r="18" spans="1:11" ht="25.5" customHeight="1" thickBot="1" x14ac:dyDescent="0.2">
      <c r="A18" s="149"/>
      <c r="B18" s="142"/>
      <c r="C18" s="140"/>
      <c r="D18" s="140"/>
      <c r="E18" s="34" t="s">
        <v>13</v>
      </c>
      <c r="F18" s="37">
        <v>0</v>
      </c>
      <c r="G18" s="37">
        <v>40</v>
      </c>
      <c r="H18" s="37" t="s">
        <v>338</v>
      </c>
      <c r="I18" s="38"/>
      <c r="J18" s="38"/>
      <c r="K18" s="38"/>
    </row>
    <row r="19" spans="1:11" ht="25.5" customHeight="1" x14ac:dyDescent="0.15">
      <c r="A19" s="143">
        <v>2</v>
      </c>
      <c r="B19" s="140" t="s">
        <v>163</v>
      </c>
      <c r="C19" s="140" t="s">
        <v>34</v>
      </c>
      <c r="D19" s="141" t="s">
        <v>144</v>
      </c>
      <c r="E19" s="34" t="s">
        <v>8</v>
      </c>
      <c r="F19" s="34" t="s">
        <v>30</v>
      </c>
      <c r="G19" s="34" t="s">
        <v>143</v>
      </c>
      <c r="H19" s="34" t="s">
        <v>32</v>
      </c>
      <c r="I19" s="34"/>
      <c r="J19" s="115"/>
      <c r="K19" s="115"/>
    </row>
    <row r="20" spans="1:11" ht="25.5" customHeight="1" x14ac:dyDescent="0.15">
      <c r="A20" s="144"/>
      <c r="B20" s="140"/>
      <c r="C20" s="140"/>
      <c r="D20" s="141"/>
      <c r="E20" s="34" t="s">
        <v>13</v>
      </c>
      <c r="F20" s="37">
        <v>0</v>
      </c>
      <c r="G20" s="37">
        <v>25</v>
      </c>
      <c r="H20" s="37">
        <v>45</v>
      </c>
      <c r="I20" s="38">
        <v>45</v>
      </c>
      <c r="J20" s="38"/>
      <c r="K20" s="38"/>
    </row>
    <row r="21" spans="1:11" ht="25.5" customHeight="1" x14ac:dyDescent="0.15">
      <c r="A21" s="144"/>
      <c r="B21" s="140"/>
      <c r="C21" s="141" t="s">
        <v>339</v>
      </c>
      <c r="D21" s="140" t="s">
        <v>340</v>
      </c>
      <c r="E21" s="34" t="s">
        <v>8</v>
      </c>
      <c r="F21" s="37" t="s">
        <v>75</v>
      </c>
      <c r="G21" s="37" t="s">
        <v>382</v>
      </c>
      <c r="H21" s="37" t="s">
        <v>11</v>
      </c>
      <c r="I21" s="37"/>
      <c r="J21" s="116"/>
      <c r="K21" s="116"/>
    </row>
    <row r="22" spans="1:11" ht="25.5" customHeight="1" x14ac:dyDescent="0.15">
      <c r="A22" s="144"/>
      <c r="B22" s="140"/>
      <c r="C22" s="141"/>
      <c r="D22" s="140"/>
      <c r="E22" s="34" t="s">
        <v>13</v>
      </c>
      <c r="F22" s="37">
        <v>10</v>
      </c>
      <c r="G22" s="37">
        <v>15</v>
      </c>
      <c r="H22" s="37">
        <v>30</v>
      </c>
      <c r="I22" s="38"/>
      <c r="J22" s="38"/>
      <c r="K22" s="38"/>
    </row>
    <row r="23" spans="1:11" ht="25.5" customHeight="1" x14ac:dyDescent="0.15">
      <c r="A23" s="144"/>
      <c r="B23" s="140"/>
      <c r="C23" s="141" t="s">
        <v>341</v>
      </c>
      <c r="D23" s="140" t="s">
        <v>342</v>
      </c>
      <c r="E23" s="34" t="s">
        <v>8</v>
      </c>
      <c r="F23" s="37" t="s">
        <v>75</v>
      </c>
      <c r="G23" s="37" t="s">
        <v>382</v>
      </c>
      <c r="H23" s="37" t="s">
        <v>11</v>
      </c>
      <c r="I23" s="37"/>
      <c r="J23" s="116"/>
      <c r="K23" s="116"/>
    </row>
    <row r="24" spans="1:11" ht="25.5" customHeight="1" x14ac:dyDescent="0.15">
      <c r="A24" s="144"/>
      <c r="B24" s="140"/>
      <c r="C24" s="141"/>
      <c r="D24" s="140"/>
      <c r="E24" s="34" t="s">
        <v>13</v>
      </c>
      <c r="F24" s="37">
        <v>15</v>
      </c>
      <c r="G24" s="37">
        <v>30</v>
      </c>
      <c r="H24" s="37">
        <v>55</v>
      </c>
      <c r="I24" s="38">
        <v>30</v>
      </c>
      <c r="J24" s="38">
        <v>15</v>
      </c>
      <c r="K24" s="38">
        <v>30</v>
      </c>
    </row>
    <row r="25" spans="1:11" ht="25.5" customHeight="1" x14ac:dyDescent="0.15">
      <c r="A25" s="144"/>
      <c r="B25" s="140"/>
      <c r="C25" s="140" t="s">
        <v>343</v>
      </c>
      <c r="D25" s="140" t="s">
        <v>344</v>
      </c>
      <c r="E25" s="35" t="s">
        <v>8</v>
      </c>
      <c r="F25" s="37" t="s">
        <v>75</v>
      </c>
      <c r="G25" s="37" t="s">
        <v>382</v>
      </c>
      <c r="H25" s="37" t="s">
        <v>11</v>
      </c>
      <c r="I25" s="37"/>
      <c r="J25" s="116"/>
      <c r="K25" s="116"/>
    </row>
    <row r="26" spans="1:11" ht="25.5" customHeight="1" x14ac:dyDescent="0.15">
      <c r="A26" s="144"/>
      <c r="B26" s="140"/>
      <c r="C26" s="140"/>
      <c r="D26" s="140"/>
      <c r="E26" s="34" t="s">
        <v>13</v>
      </c>
      <c r="F26" s="37">
        <v>15</v>
      </c>
      <c r="G26" s="37">
        <v>25</v>
      </c>
      <c r="H26" s="37">
        <v>35</v>
      </c>
      <c r="I26" s="38"/>
      <c r="J26" s="38"/>
      <c r="K26" s="38"/>
    </row>
    <row r="27" spans="1:11" ht="25.5" customHeight="1" x14ac:dyDescent="0.15">
      <c r="A27" s="144"/>
      <c r="B27" s="140"/>
      <c r="C27" s="141" t="s">
        <v>145</v>
      </c>
      <c r="D27" s="141" t="s">
        <v>146</v>
      </c>
      <c r="E27" s="34" t="s">
        <v>8</v>
      </c>
      <c r="F27" s="37" t="s">
        <v>75</v>
      </c>
      <c r="G27" s="37" t="s">
        <v>382</v>
      </c>
      <c r="H27" s="37" t="s">
        <v>11</v>
      </c>
      <c r="I27" s="37"/>
      <c r="J27" s="116"/>
      <c r="K27" s="116"/>
    </row>
    <row r="28" spans="1:11" ht="25.5" customHeight="1" x14ac:dyDescent="0.15">
      <c r="A28" s="144"/>
      <c r="B28" s="140"/>
      <c r="C28" s="141"/>
      <c r="D28" s="141"/>
      <c r="E28" s="34" t="s">
        <v>13</v>
      </c>
      <c r="F28" s="37">
        <v>10</v>
      </c>
      <c r="G28" s="37">
        <v>20</v>
      </c>
      <c r="H28" s="37">
        <v>30</v>
      </c>
      <c r="I28" s="38"/>
      <c r="J28" s="38"/>
      <c r="K28" s="38"/>
    </row>
    <row r="29" spans="1:11" ht="25.5" customHeight="1" x14ac:dyDescent="0.15">
      <c r="A29" s="144"/>
      <c r="B29" s="140"/>
      <c r="C29" s="140" t="s">
        <v>147</v>
      </c>
      <c r="D29" s="140" t="s">
        <v>148</v>
      </c>
      <c r="E29" s="34" t="s">
        <v>8</v>
      </c>
      <c r="F29" s="34" t="s">
        <v>30</v>
      </c>
      <c r="G29" s="34" t="s">
        <v>40</v>
      </c>
      <c r="H29" s="34" t="s">
        <v>55</v>
      </c>
      <c r="I29" s="34"/>
      <c r="J29" s="115"/>
      <c r="K29" s="115"/>
    </row>
    <row r="30" spans="1:11" ht="25.5" customHeight="1" x14ac:dyDescent="0.15">
      <c r="A30" s="144"/>
      <c r="B30" s="140"/>
      <c r="C30" s="140"/>
      <c r="D30" s="140"/>
      <c r="E30" s="34" t="s">
        <v>13</v>
      </c>
      <c r="F30" s="37">
        <v>0</v>
      </c>
      <c r="G30" s="37">
        <v>30</v>
      </c>
      <c r="H30" s="37" t="s">
        <v>108</v>
      </c>
      <c r="I30" s="38"/>
      <c r="J30" s="38"/>
      <c r="K30" s="38"/>
    </row>
    <row r="31" spans="1:11" ht="25.5" customHeight="1" x14ac:dyDescent="0.15">
      <c r="A31" s="145">
        <v>3</v>
      </c>
      <c r="B31" s="140" t="s">
        <v>164</v>
      </c>
      <c r="C31" s="140" t="s">
        <v>149</v>
      </c>
      <c r="D31" s="140" t="s">
        <v>150</v>
      </c>
      <c r="E31" s="34" t="s">
        <v>8</v>
      </c>
      <c r="F31" s="34" t="s">
        <v>30</v>
      </c>
      <c r="G31" s="34" t="s">
        <v>151</v>
      </c>
      <c r="H31" s="34" t="s">
        <v>55</v>
      </c>
      <c r="I31" s="34"/>
      <c r="J31" s="115"/>
      <c r="K31" s="115"/>
    </row>
    <row r="32" spans="1:11" ht="25.5" customHeight="1" x14ac:dyDescent="0.15">
      <c r="A32" s="145"/>
      <c r="B32" s="140"/>
      <c r="C32" s="140"/>
      <c r="D32" s="140"/>
      <c r="E32" s="34" t="s">
        <v>13</v>
      </c>
      <c r="F32" s="37">
        <v>0</v>
      </c>
      <c r="G32" s="37">
        <v>35</v>
      </c>
      <c r="H32" s="37" t="s">
        <v>108</v>
      </c>
      <c r="I32" s="38"/>
      <c r="J32" s="38"/>
      <c r="K32" s="38"/>
    </row>
    <row r="33" spans="1:500" ht="25.5" customHeight="1" x14ac:dyDescent="0.15">
      <c r="A33" s="145"/>
      <c r="B33" s="140"/>
      <c r="C33" s="140" t="s">
        <v>152</v>
      </c>
      <c r="D33" s="140" t="s">
        <v>153</v>
      </c>
      <c r="E33" s="34" t="s">
        <v>8</v>
      </c>
      <c r="F33" s="34" t="s">
        <v>30</v>
      </c>
      <c r="G33" s="34" t="s">
        <v>154</v>
      </c>
      <c r="H33" s="34" t="s">
        <v>101</v>
      </c>
      <c r="I33" s="34"/>
      <c r="J33" s="115"/>
      <c r="K33" s="115"/>
    </row>
    <row r="34" spans="1:500" ht="25.5" customHeight="1" x14ac:dyDescent="0.15">
      <c r="A34" s="145"/>
      <c r="B34" s="140"/>
      <c r="C34" s="140"/>
      <c r="D34" s="140"/>
      <c r="E34" s="34" t="s">
        <v>13</v>
      </c>
      <c r="F34" s="37">
        <v>0</v>
      </c>
      <c r="G34" s="37">
        <v>25</v>
      </c>
      <c r="H34" s="37">
        <v>60</v>
      </c>
      <c r="I34" s="38"/>
      <c r="J34" s="38"/>
      <c r="K34" s="38"/>
    </row>
    <row r="35" spans="1:500" ht="25.5" customHeight="1" x14ac:dyDescent="0.15">
      <c r="A35" s="145"/>
      <c r="B35" s="140"/>
      <c r="C35" s="140" t="s">
        <v>155</v>
      </c>
      <c r="D35" s="140" t="s">
        <v>156</v>
      </c>
      <c r="E35" s="34" t="s">
        <v>8</v>
      </c>
      <c r="F35" s="34" t="s">
        <v>30</v>
      </c>
      <c r="G35" s="34" t="s">
        <v>40</v>
      </c>
      <c r="H35" s="34" t="s">
        <v>55</v>
      </c>
      <c r="I35" s="34"/>
      <c r="J35" s="115"/>
      <c r="K35" s="115"/>
    </row>
    <row r="36" spans="1:500" ht="25.5" customHeight="1" x14ac:dyDescent="0.15">
      <c r="A36" s="145"/>
      <c r="B36" s="140"/>
      <c r="C36" s="140"/>
      <c r="D36" s="140"/>
      <c r="E36" s="34" t="s">
        <v>13</v>
      </c>
      <c r="F36" s="37">
        <v>0</v>
      </c>
      <c r="G36" s="37">
        <v>15</v>
      </c>
      <c r="H36" s="37">
        <v>25</v>
      </c>
      <c r="I36" s="38"/>
      <c r="J36" s="38"/>
      <c r="K36" s="38"/>
    </row>
    <row r="37" spans="1:500" ht="25.5" customHeight="1" x14ac:dyDescent="0.15">
      <c r="A37" s="145"/>
      <c r="B37" s="140"/>
      <c r="C37" s="140" t="s">
        <v>345</v>
      </c>
      <c r="D37" s="140" t="s">
        <v>157</v>
      </c>
      <c r="E37" s="34" t="s">
        <v>8</v>
      </c>
      <c r="F37" s="34" t="s">
        <v>88</v>
      </c>
      <c r="G37" s="34" t="s">
        <v>101</v>
      </c>
      <c r="H37" s="34" t="s">
        <v>383</v>
      </c>
      <c r="I37" s="34"/>
      <c r="J37" s="115"/>
      <c r="K37" s="115"/>
    </row>
    <row r="38" spans="1:500" ht="25.5" customHeight="1" x14ac:dyDescent="0.15">
      <c r="A38" s="145"/>
      <c r="B38" s="140"/>
      <c r="C38" s="140"/>
      <c r="D38" s="140"/>
      <c r="E38" s="34" t="s">
        <v>13</v>
      </c>
      <c r="F38" s="37">
        <v>0</v>
      </c>
      <c r="G38" s="37">
        <v>20</v>
      </c>
      <c r="H38" s="37">
        <v>40</v>
      </c>
      <c r="I38" s="38"/>
      <c r="J38" s="38"/>
      <c r="K38" s="38"/>
    </row>
    <row r="40" spans="1:500" ht="20.25" x14ac:dyDescent="0.15">
      <c r="B40" s="122" t="s">
        <v>392</v>
      </c>
      <c r="C40" s="122"/>
      <c r="D40" s="122"/>
      <c r="E40" s="122"/>
      <c r="F40" s="122"/>
      <c r="G40" s="146"/>
      <c r="H40" s="146"/>
    </row>
    <row r="41" spans="1:500" s="39" customFormat="1" ht="34.5" customHeight="1" x14ac:dyDescent="0.15">
      <c r="G41" s="47"/>
      <c r="H41" s="59" t="s">
        <v>388</v>
      </c>
      <c r="I41" s="46" t="s">
        <v>437</v>
      </c>
      <c r="J41" s="46" t="s">
        <v>441</v>
      </c>
      <c r="K41" s="46" t="s">
        <v>442</v>
      </c>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c r="KR41"/>
      <c r="KS41"/>
      <c r="KT41"/>
      <c r="KU41"/>
      <c r="KV41"/>
      <c r="KW41"/>
      <c r="KX41"/>
      <c r="KY41"/>
      <c r="KZ41"/>
      <c r="LA41"/>
      <c r="LB41"/>
      <c r="LC41"/>
      <c r="LD41"/>
      <c r="LE41"/>
      <c r="LF41"/>
      <c r="LG41"/>
      <c r="LH41"/>
      <c r="LI41"/>
      <c r="LJ41"/>
      <c r="LK41"/>
      <c r="LL41"/>
      <c r="LM41"/>
      <c r="LN41"/>
      <c r="LO41"/>
      <c r="LP41"/>
      <c r="LQ41"/>
      <c r="LR41"/>
      <c r="LS41"/>
      <c r="LT41"/>
      <c r="LU41"/>
      <c r="LV41"/>
      <c r="LW41"/>
      <c r="LX41"/>
      <c r="LY41"/>
      <c r="LZ41"/>
      <c r="MA41"/>
      <c r="MB41"/>
      <c r="MC41"/>
      <c r="MD41"/>
      <c r="ME41"/>
      <c r="MF41"/>
      <c r="MG41"/>
      <c r="MH41"/>
      <c r="MI41"/>
      <c r="MJ41"/>
      <c r="MK41"/>
      <c r="ML41"/>
      <c r="MM41"/>
      <c r="MN41"/>
      <c r="MO41"/>
      <c r="MP41"/>
      <c r="MQ41"/>
      <c r="MR41"/>
      <c r="MS41"/>
      <c r="MT41"/>
      <c r="MU41"/>
      <c r="MV41"/>
      <c r="MW41"/>
      <c r="MX41"/>
      <c r="MY41"/>
      <c r="MZ41"/>
      <c r="NA41"/>
      <c r="NB41"/>
      <c r="NC41"/>
      <c r="ND41"/>
      <c r="NE41"/>
      <c r="NF41"/>
      <c r="NG41"/>
      <c r="NH41"/>
      <c r="NI41"/>
      <c r="NJ41"/>
      <c r="NK41"/>
      <c r="NL41"/>
      <c r="NM41"/>
      <c r="NN41"/>
      <c r="NO41"/>
      <c r="NP41"/>
      <c r="NQ41"/>
      <c r="NR41"/>
      <c r="NS41"/>
      <c r="NT41"/>
      <c r="NU41"/>
      <c r="NV41"/>
      <c r="NW41"/>
      <c r="NX41"/>
      <c r="NY41"/>
      <c r="NZ41"/>
      <c r="OA41"/>
      <c r="OB41"/>
      <c r="OC41"/>
      <c r="OD41"/>
      <c r="OE41"/>
      <c r="OF41"/>
      <c r="OG41"/>
      <c r="OH41"/>
      <c r="OI41"/>
      <c r="OJ41"/>
      <c r="OK41"/>
      <c r="OL41"/>
      <c r="OM41"/>
      <c r="ON41"/>
      <c r="OO41"/>
      <c r="OP41"/>
      <c r="OQ41"/>
      <c r="OR41"/>
      <c r="OS41"/>
      <c r="OT41"/>
      <c r="OU41"/>
      <c r="OV41"/>
      <c r="OW41"/>
      <c r="OX41"/>
      <c r="OY41"/>
      <c r="OZ41"/>
      <c r="PA41"/>
      <c r="PB41"/>
      <c r="PC41"/>
      <c r="PD41"/>
      <c r="PE41"/>
      <c r="PF41"/>
      <c r="PG41"/>
      <c r="PH41"/>
      <c r="PI41"/>
      <c r="PJ41"/>
      <c r="PK41"/>
      <c r="PL41"/>
      <c r="PM41"/>
      <c r="PN41"/>
      <c r="PO41"/>
      <c r="PP41"/>
      <c r="PQ41"/>
      <c r="PR41"/>
      <c r="PS41"/>
      <c r="PT41"/>
      <c r="PU41"/>
      <c r="PV41"/>
      <c r="PW41"/>
      <c r="PX41"/>
      <c r="PY41"/>
      <c r="PZ41"/>
      <c r="QA41"/>
      <c r="QB41"/>
      <c r="QC41"/>
      <c r="QD41"/>
      <c r="QE41"/>
      <c r="QF41"/>
      <c r="QG41"/>
      <c r="QH41"/>
      <c r="QI41"/>
      <c r="QJ41"/>
      <c r="QK41"/>
      <c r="QL41"/>
      <c r="QM41"/>
      <c r="QN41"/>
      <c r="QO41"/>
      <c r="QP41"/>
      <c r="QQ41"/>
      <c r="QR41"/>
      <c r="QS41"/>
      <c r="QT41"/>
      <c r="QU41"/>
      <c r="QV41"/>
      <c r="QW41"/>
      <c r="QX41"/>
      <c r="QY41"/>
      <c r="QZ41"/>
      <c r="RA41"/>
      <c r="RB41"/>
      <c r="RC41"/>
      <c r="RD41"/>
      <c r="RE41"/>
      <c r="RF41"/>
      <c r="RG41"/>
      <c r="RH41"/>
      <c r="RI41"/>
      <c r="RJ41"/>
      <c r="RK41"/>
      <c r="RL41"/>
      <c r="RM41"/>
      <c r="RN41"/>
      <c r="RO41"/>
      <c r="RP41"/>
      <c r="RQ41"/>
      <c r="RR41"/>
      <c r="RS41"/>
      <c r="RT41"/>
      <c r="RU41"/>
      <c r="RV41"/>
      <c r="RW41"/>
      <c r="RX41"/>
      <c r="RY41"/>
      <c r="RZ41"/>
      <c r="SA41"/>
      <c r="SB41"/>
      <c r="SC41"/>
      <c r="SD41"/>
      <c r="SE41"/>
      <c r="SF41"/>
    </row>
    <row r="42" spans="1:500" ht="27.75" customHeight="1" x14ac:dyDescent="0.15">
      <c r="G42" s="125" t="s">
        <v>390</v>
      </c>
      <c r="H42" s="45" t="s">
        <v>435</v>
      </c>
      <c r="I42" s="43">
        <f t="array" ref="I42:I43">BCIs_ZL_solve(I3:I18)</f>
        <v>0</v>
      </c>
      <c r="J42" s="114">
        <f t="array" ref="J42:J43">BCIs_ZL_solve(J3:J18)</f>
        <v>20</v>
      </c>
      <c r="K42" s="114">
        <f t="array" ref="K42:K43">BCIs_ZL_solve(K3:K18)</f>
        <v>15</v>
      </c>
    </row>
    <row r="43" spans="1:500" ht="27.75" customHeight="1" x14ac:dyDescent="0.15">
      <c r="G43" s="125"/>
      <c r="H43" s="33" t="s">
        <v>456</v>
      </c>
      <c r="I43" s="42">
        <v>0</v>
      </c>
      <c r="J43" s="42">
        <v>20</v>
      </c>
      <c r="K43" s="42">
        <v>15</v>
      </c>
    </row>
    <row r="44" spans="1:500" s="44" customFormat="1" ht="23.25" customHeight="1" x14ac:dyDescent="0.15">
      <c r="B44" s="48"/>
      <c r="C44" s="48"/>
      <c r="D44" s="48"/>
      <c r="E44" s="48"/>
      <c r="F44" s="48"/>
      <c r="G44" s="125" t="s">
        <v>391</v>
      </c>
      <c r="H44" s="45" t="s">
        <v>389</v>
      </c>
      <c r="I44" s="43">
        <f t="array" ref="I44:I45">BCIs_HL_solve(I19:I30)</f>
        <v>75</v>
      </c>
      <c r="J44" s="114">
        <f t="array" ref="J44:J45">BCIs_HL_solve(J19:J30)</f>
        <v>15</v>
      </c>
      <c r="K44" s="114">
        <f t="array" ref="K44:K45">BCIs_HL_solve(K19:K30)</f>
        <v>30</v>
      </c>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c r="QN44"/>
      <c r="QO44"/>
      <c r="QP44"/>
      <c r="QQ44"/>
      <c r="QR44"/>
      <c r="QS44"/>
      <c r="QT44"/>
      <c r="QU44"/>
      <c r="QV44"/>
      <c r="QW44"/>
      <c r="QX44"/>
      <c r="QY44"/>
      <c r="QZ44"/>
      <c r="RA44"/>
      <c r="RB44"/>
      <c r="RC44"/>
      <c r="RD44"/>
      <c r="RE44"/>
      <c r="RF44"/>
      <c r="RG44"/>
      <c r="RH44"/>
      <c r="RI44"/>
      <c r="RJ44"/>
      <c r="RK44"/>
      <c r="RL44"/>
      <c r="RM44"/>
      <c r="RN44"/>
      <c r="RO44"/>
      <c r="RP44"/>
      <c r="RQ44"/>
      <c r="RR44"/>
      <c r="RS44"/>
      <c r="RT44"/>
      <c r="RU44"/>
      <c r="RV44"/>
      <c r="RW44"/>
      <c r="RX44"/>
      <c r="RY44"/>
      <c r="RZ44"/>
      <c r="SA44"/>
      <c r="SB44"/>
      <c r="SC44"/>
      <c r="SD44"/>
      <c r="SE44"/>
      <c r="SF44"/>
    </row>
    <row r="45" spans="1:500" ht="25.5" customHeight="1" x14ac:dyDescent="0.15">
      <c r="B45" s="41"/>
      <c r="C45" s="41"/>
      <c r="D45" s="41"/>
      <c r="E45" s="41"/>
      <c r="F45" s="41"/>
      <c r="G45" s="125"/>
      <c r="H45" s="33" t="s">
        <v>385</v>
      </c>
      <c r="I45" s="42">
        <v>55.919999999999995</v>
      </c>
      <c r="J45" s="42">
        <v>15</v>
      </c>
      <c r="K45" s="42">
        <v>30</v>
      </c>
    </row>
  </sheetData>
  <mergeCells count="47">
    <mergeCell ref="A3:A18"/>
    <mergeCell ref="E2:H2"/>
    <mergeCell ref="C3:C4"/>
    <mergeCell ref="D3:D4"/>
    <mergeCell ref="C11:C12"/>
    <mergeCell ref="D11:D12"/>
    <mergeCell ref="C15:C16"/>
    <mergeCell ref="C17:C18"/>
    <mergeCell ref="D17:D18"/>
    <mergeCell ref="C9:C10"/>
    <mergeCell ref="C5:C6"/>
    <mergeCell ref="C7:C8"/>
    <mergeCell ref="D7:D8"/>
    <mergeCell ref="D9:D10"/>
    <mergeCell ref="D5:D6"/>
    <mergeCell ref="B40:H40"/>
    <mergeCell ref="G42:G43"/>
    <mergeCell ref="G44:G45"/>
    <mergeCell ref="D15:D16"/>
    <mergeCell ref="D13:D14"/>
    <mergeCell ref="D19:D20"/>
    <mergeCell ref="C35:C36"/>
    <mergeCell ref="D35:D36"/>
    <mergeCell ref="B19:B30"/>
    <mergeCell ref="D37:D38"/>
    <mergeCell ref="C31:C32"/>
    <mergeCell ref="D31:D32"/>
    <mergeCell ref="C33:C34"/>
    <mergeCell ref="D33:D34"/>
    <mergeCell ref="C27:C28"/>
    <mergeCell ref="D27:D28"/>
    <mergeCell ref="A1:D1"/>
    <mergeCell ref="B31:B38"/>
    <mergeCell ref="C29:C30"/>
    <mergeCell ref="D29:D30"/>
    <mergeCell ref="C23:C24"/>
    <mergeCell ref="D23:D24"/>
    <mergeCell ref="C25:C26"/>
    <mergeCell ref="D25:D26"/>
    <mergeCell ref="C21:C22"/>
    <mergeCell ref="D21:D22"/>
    <mergeCell ref="C19:C20"/>
    <mergeCell ref="C37:C38"/>
    <mergeCell ref="B3:B18"/>
    <mergeCell ref="C13:C14"/>
    <mergeCell ref="A19:A30"/>
    <mergeCell ref="A31:A38"/>
  </mergeCells>
  <phoneticPr fontId="1" type="noConversion"/>
  <dataValidations count="1">
    <dataValidation type="whole" operator="greaterThanOrEqual" allowBlank="1" showInputMessage="1" showErrorMessage="1" sqref="G1">
      <formula1>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urperStructure_Form">
                <anchor moveWithCells="1" sizeWithCells="1">
                  <from>
                    <xdr:col>7</xdr:col>
                    <xdr:colOff>57150</xdr:colOff>
                    <xdr:row>0</xdr:row>
                    <xdr:rowOff>66675</xdr:rowOff>
                  </from>
                  <to>
                    <xdr:col>7</xdr:col>
                    <xdr:colOff>781050</xdr:colOff>
                    <xdr:row>0</xdr:row>
                    <xdr:rowOff>371475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F0"/>
  </sheetPr>
  <dimension ref="A1:SF100"/>
  <sheetViews>
    <sheetView tabSelected="1" workbookViewId="0">
      <pane xSplit="8" ySplit="1" topLeftCell="I20" activePane="bottomRight" state="frozen"/>
      <selection pane="topRight" activeCell="I1" sqref="I1"/>
      <selection pane="bottomLeft" activeCell="A2" sqref="A2"/>
      <selection pane="bottomRight" activeCell="O47" sqref="O47"/>
    </sheetView>
  </sheetViews>
  <sheetFormatPr defaultRowHeight="13.5" x14ac:dyDescent="0.15"/>
  <cols>
    <col min="1" max="1" width="7.125" customWidth="1"/>
    <col min="2" max="2" width="7.75" customWidth="1"/>
    <col min="4" max="4" width="19" customWidth="1"/>
    <col min="8" max="8" width="10.625" customWidth="1"/>
  </cols>
  <sheetData>
    <row r="1" spans="1:500" s="51" customFormat="1" ht="33.75" customHeight="1" x14ac:dyDescent="0.15">
      <c r="A1" s="139" t="s">
        <v>268</v>
      </c>
      <c r="B1" s="139"/>
      <c r="C1" s="139"/>
      <c r="D1" s="139"/>
      <c r="F1" s="64" t="s">
        <v>405</v>
      </c>
      <c r="G1" s="63">
        <f>'扣分-上部结构'!G1+1</f>
        <v>4</v>
      </c>
      <c r="H1" s="65"/>
      <c r="I1" s="50" t="s">
        <v>308</v>
      </c>
      <c r="J1" s="50" t="s">
        <v>445</v>
      </c>
      <c r="K1" s="50" t="s">
        <v>446</v>
      </c>
      <c r="L1" s="50" t="s">
        <v>447</v>
      </c>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row>
    <row r="2" spans="1:500" ht="21" customHeight="1" x14ac:dyDescent="0.15">
      <c r="A2" s="4" t="s">
        <v>215</v>
      </c>
      <c r="B2" s="4" t="s">
        <v>126</v>
      </c>
      <c r="C2" s="4" t="s">
        <v>158</v>
      </c>
      <c r="D2" s="4" t="s">
        <v>4</v>
      </c>
      <c r="E2" s="126" t="s">
        <v>5</v>
      </c>
      <c r="F2" s="126"/>
      <c r="G2" s="126"/>
      <c r="H2" s="126"/>
      <c r="I2" s="4" t="s">
        <v>131</v>
      </c>
      <c r="J2" s="113" t="s">
        <v>131</v>
      </c>
      <c r="K2" s="113" t="s">
        <v>131</v>
      </c>
      <c r="L2" s="113" t="s">
        <v>131</v>
      </c>
    </row>
    <row r="3" spans="1:500" ht="21" customHeight="1" x14ac:dyDescent="0.15">
      <c r="A3" s="126">
        <v>1</v>
      </c>
      <c r="B3" s="126" t="s">
        <v>399</v>
      </c>
      <c r="C3" s="126" t="s">
        <v>333</v>
      </c>
      <c r="D3" s="126" t="s">
        <v>168</v>
      </c>
      <c r="E3" s="4" t="s">
        <v>8</v>
      </c>
      <c r="F3" s="5" t="s">
        <v>9</v>
      </c>
      <c r="G3" s="5" t="s">
        <v>169</v>
      </c>
      <c r="H3" s="5" t="s">
        <v>11</v>
      </c>
      <c r="I3" s="5"/>
      <c r="J3" s="120"/>
      <c r="K3" s="120"/>
      <c r="L3" s="120"/>
    </row>
    <row r="4" spans="1:500" ht="21" customHeight="1" x14ac:dyDescent="0.15">
      <c r="A4" s="126"/>
      <c r="B4" s="126"/>
      <c r="C4" s="126"/>
      <c r="D4" s="126"/>
      <c r="E4" s="4" t="s">
        <v>13</v>
      </c>
      <c r="F4" s="5">
        <v>8</v>
      </c>
      <c r="G4" s="5">
        <v>15</v>
      </c>
      <c r="H4" s="5">
        <v>25</v>
      </c>
      <c r="I4" s="8"/>
      <c r="J4" s="8">
        <v>8</v>
      </c>
      <c r="K4" s="8">
        <v>15</v>
      </c>
      <c r="L4" s="8"/>
    </row>
    <row r="5" spans="1:500" ht="21" customHeight="1" x14ac:dyDescent="0.15">
      <c r="A5" s="126"/>
      <c r="B5" s="126"/>
      <c r="C5" s="126" t="s">
        <v>346</v>
      </c>
      <c r="D5" s="126" t="s">
        <v>170</v>
      </c>
      <c r="E5" s="4" t="s">
        <v>8</v>
      </c>
      <c r="F5" s="5" t="s">
        <v>136</v>
      </c>
      <c r="G5" s="5" t="s">
        <v>171</v>
      </c>
      <c r="H5" s="5" t="s">
        <v>137</v>
      </c>
      <c r="I5" s="5"/>
      <c r="J5" s="120"/>
      <c r="K5" s="120"/>
      <c r="L5" s="120"/>
    </row>
    <row r="6" spans="1:500" ht="21" customHeight="1" x14ac:dyDescent="0.15">
      <c r="A6" s="126"/>
      <c r="B6" s="126"/>
      <c r="C6" s="126"/>
      <c r="D6" s="126"/>
      <c r="E6" s="4" t="s">
        <v>13</v>
      </c>
      <c r="F6" s="5">
        <v>12</v>
      </c>
      <c r="G6" s="5">
        <v>20</v>
      </c>
      <c r="H6" s="5">
        <v>30</v>
      </c>
      <c r="I6" s="8"/>
      <c r="J6" s="8">
        <v>30</v>
      </c>
      <c r="K6" s="8">
        <v>30</v>
      </c>
      <c r="L6" s="8"/>
    </row>
    <row r="7" spans="1:500" ht="21" customHeight="1" x14ac:dyDescent="0.15">
      <c r="A7" s="126"/>
      <c r="B7" s="126"/>
      <c r="C7" s="126" t="s">
        <v>121</v>
      </c>
      <c r="D7" s="126" t="s">
        <v>172</v>
      </c>
      <c r="E7" s="4" t="s">
        <v>8</v>
      </c>
      <c r="F7" s="5" t="s">
        <v>136</v>
      </c>
      <c r="G7" s="5" t="s">
        <v>171</v>
      </c>
      <c r="H7" s="5" t="s">
        <v>137</v>
      </c>
      <c r="I7" s="5"/>
      <c r="J7" s="120"/>
      <c r="K7" s="120"/>
      <c r="L7" s="120"/>
    </row>
    <row r="8" spans="1:500" ht="21" customHeight="1" x14ac:dyDescent="0.15">
      <c r="A8" s="126"/>
      <c r="B8" s="126"/>
      <c r="C8" s="126"/>
      <c r="D8" s="126"/>
      <c r="E8" s="4" t="s">
        <v>13</v>
      </c>
      <c r="F8" s="5">
        <v>10</v>
      </c>
      <c r="G8" s="5">
        <v>15</v>
      </c>
      <c r="H8" s="5">
        <v>25</v>
      </c>
      <c r="I8" s="8">
        <v>10</v>
      </c>
      <c r="J8" s="8">
        <v>25</v>
      </c>
      <c r="K8" s="8">
        <v>25</v>
      </c>
      <c r="L8" s="8"/>
    </row>
    <row r="9" spans="1:500" ht="25.5" customHeight="1" x14ac:dyDescent="0.15">
      <c r="A9" s="126"/>
      <c r="B9" s="126"/>
      <c r="C9" s="126" t="s">
        <v>139</v>
      </c>
      <c r="D9" s="126" t="s">
        <v>173</v>
      </c>
      <c r="E9" s="4" t="s">
        <v>8</v>
      </c>
      <c r="F9" s="4" t="s">
        <v>30</v>
      </c>
      <c r="G9" s="4" t="s">
        <v>41</v>
      </c>
      <c r="H9" s="4" t="s">
        <v>55</v>
      </c>
      <c r="I9" s="4"/>
      <c r="J9" s="113"/>
      <c r="K9" s="113"/>
      <c r="L9" s="113"/>
    </row>
    <row r="10" spans="1:500" ht="25.5" customHeight="1" x14ac:dyDescent="0.15">
      <c r="A10" s="126"/>
      <c r="B10" s="126"/>
      <c r="C10" s="126"/>
      <c r="D10" s="126"/>
      <c r="E10" s="4" t="s">
        <v>13</v>
      </c>
      <c r="F10" s="5">
        <v>0</v>
      </c>
      <c r="G10" s="5">
        <v>20</v>
      </c>
      <c r="H10" s="5">
        <v>30</v>
      </c>
      <c r="I10" s="8"/>
      <c r="J10" s="8"/>
      <c r="K10" s="8"/>
      <c r="L10" s="8"/>
    </row>
    <row r="11" spans="1:500" ht="24" customHeight="1" x14ac:dyDescent="0.15">
      <c r="A11" s="126"/>
      <c r="B11" s="126"/>
      <c r="C11" s="126" t="s">
        <v>141</v>
      </c>
      <c r="D11" s="126" t="s">
        <v>174</v>
      </c>
      <c r="E11" s="4" t="s">
        <v>8</v>
      </c>
      <c r="F11" s="4" t="s">
        <v>30</v>
      </c>
      <c r="G11" s="4" t="s">
        <v>40</v>
      </c>
      <c r="H11" s="4" t="s">
        <v>55</v>
      </c>
      <c r="I11" s="4"/>
      <c r="J11" s="113"/>
      <c r="K11" s="113"/>
      <c r="L11" s="113"/>
    </row>
    <row r="12" spans="1:500" ht="24" customHeight="1" x14ac:dyDescent="0.15">
      <c r="A12" s="126"/>
      <c r="B12" s="126"/>
      <c r="C12" s="126"/>
      <c r="D12" s="126"/>
      <c r="E12" s="4" t="s">
        <v>13</v>
      </c>
      <c r="F12" s="5">
        <v>0</v>
      </c>
      <c r="G12" s="5">
        <v>15</v>
      </c>
      <c r="H12" s="5">
        <v>40</v>
      </c>
      <c r="I12" s="8">
        <v>15</v>
      </c>
      <c r="J12" s="8">
        <v>15</v>
      </c>
      <c r="K12" s="8">
        <v>15</v>
      </c>
      <c r="L12" s="8">
        <v>15</v>
      </c>
    </row>
    <row r="13" spans="1:500" ht="24" customHeight="1" x14ac:dyDescent="0.15">
      <c r="A13" s="126"/>
      <c r="B13" s="126"/>
      <c r="C13" s="126" t="s">
        <v>175</v>
      </c>
      <c r="D13" s="126" t="s">
        <v>176</v>
      </c>
      <c r="E13" s="4" t="s">
        <v>8</v>
      </c>
      <c r="F13" s="5" t="s">
        <v>136</v>
      </c>
      <c r="G13" s="5" t="s">
        <v>171</v>
      </c>
      <c r="H13" s="5" t="s">
        <v>137</v>
      </c>
      <c r="I13" s="5"/>
      <c r="J13" s="120"/>
      <c r="K13" s="120"/>
      <c r="L13" s="120"/>
    </row>
    <row r="14" spans="1:500" ht="24" customHeight="1" x14ac:dyDescent="0.15">
      <c r="A14" s="126"/>
      <c r="B14" s="126"/>
      <c r="C14" s="126"/>
      <c r="D14" s="126"/>
      <c r="E14" s="4" t="s">
        <v>13</v>
      </c>
      <c r="F14" s="5">
        <v>0</v>
      </c>
      <c r="G14" s="5">
        <v>15</v>
      </c>
      <c r="H14" s="5">
        <v>25</v>
      </c>
      <c r="I14" s="8"/>
      <c r="J14" s="8"/>
      <c r="K14" s="8"/>
      <c r="L14" s="8"/>
    </row>
    <row r="15" spans="1:500" ht="36.75" customHeight="1" x14ac:dyDescent="0.15">
      <c r="A15" s="126">
        <v>2</v>
      </c>
      <c r="B15" s="126" t="s">
        <v>401</v>
      </c>
      <c r="C15" s="126" t="s">
        <v>177</v>
      </c>
      <c r="D15" s="126" t="s">
        <v>178</v>
      </c>
      <c r="E15" s="4" t="s">
        <v>8</v>
      </c>
      <c r="F15" s="4" t="s">
        <v>30</v>
      </c>
      <c r="G15" s="4" t="s">
        <v>143</v>
      </c>
      <c r="H15" s="4" t="s">
        <v>32</v>
      </c>
      <c r="I15" s="4"/>
      <c r="J15" s="113"/>
      <c r="K15" s="113"/>
      <c r="L15" s="113"/>
    </row>
    <row r="16" spans="1:500" ht="36.75" customHeight="1" x14ac:dyDescent="0.15">
      <c r="A16" s="126"/>
      <c r="B16" s="126"/>
      <c r="C16" s="126"/>
      <c r="D16" s="126"/>
      <c r="E16" s="4" t="s">
        <v>13</v>
      </c>
      <c r="F16" s="5">
        <v>0</v>
      </c>
      <c r="G16" s="5">
        <v>20</v>
      </c>
      <c r="H16" s="5">
        <v>40</v>
      </c>
      <c r="I16" s="8"/>
      <c r="J16" s="8"/>
      <c r="K16" s="8"/>
      <c r="L16" s="8"/>
    </row>
    <row r="17" spans="1:12" ht="36.75" customHeight="1" x14ac:dyDescent="0.15">
      <c r="A17" s="126"/>
      <c r="B17" s="126"/>
      <c r="C17" s="126" t="s">
        <v>179</v>
      </c>
      <c r="D17" s="126" t="s">
        <v>180</v>
      </c>
      <c r="E17" s="4" t="s">
        <v>8</v>
      </c>
      <c r="F17" s="4" t="s">
        <v>30</v>
      </c>
      <c r="G17" s="4" t="s">
        <v>143</v>
      </c>
      <c r="H17" s="4" t="s">
        <v>32</v>
      </c>
      <c r="I17" s="4"/>
      <c r="J17" s="113"/>
      <c r="K17" s="113"/>
      <c r="L17" s="113"/>
    </row>
    <row r="18" spans="1:12" ht="36.75" customHeight="1" x14ac:dyDescent="0.15">
      <c r="A18" s="126"/>
      <c r="B18" s="126"/>
      <c r="C18" s="126"/>
      <c r="D18" s="126"/>
      <c r="E18" s="4" t="s">
        <v>13</v>
      </c>
      <c r="F18" s="5">
        <v>0</v>
      </c>
      <c r="G18" s="5">
        <v>10</v>
      </c>
      <c r="H18" s="5">
        <v>25</v>
      </c>
      <c r="I18" s="8"/>
      <c r="J18" s="8"/>
      <c r="K18" s="8"/>
      <c r="L18" s="8"/>
    </row>
    <row r="19" spans="1:12" ht="27" customHeight="1" x14ac:dyDescent="0.15">
      <c r="A19" s="126"/>
      <c r="B19" s="126"/>
      <c r="C19" s="126" t="s">
        <v>347</v>
      </c>
      <c r="D19" s="126" t="s">
        <v>348</v>
      </c>
      <c r="E19" s="4" t="s">
        <v>8</v>
      </c>
      <c r="F19" s="4" t="s">
        <v>88</v>
      </c>
      <c r="G19" s="4" t="s">
        <v>181</v>
      </c>
      <c r="H19" s="4" t="s">
        <v>32</v>
      </c>
      <c r="I19" s="4"/>
      <c r="J19" s="113"/>
      <c r="K19" s="113"/>
      <c r="L19" s="113"/>
    </row>
    <row r="20" spans="1:12" ht="27" customHeight="1" x14ac:dyDescent="0.15">
      <c r="A20" s="126"/>
      <c r="B20" s="126"/>
      <c r="C20" s="126"/>
      <c r="D20" s="126"/>
      <c r="E20" s="4" t="s">
        <v>13</v>
      </c>
      <c r="F20" s="5">
        <v>0</v>
      </c>
      <c r="G20" s="5">
        <v>15</v>
      </c>
      <c r="H20" s="5">
        <v>35</v>
      </c>
      <c r="I20" s="8"/>
      <c r="J20" s="8"/>
      <c r="K20" s="8"/>
      <c r="L20" s="8"/>
    </row>
    <row r="21" spans="1:12" ht="36.75" customHeight="1" x14ac:dyDescent="0.15">
      <c r="A21" s="126"/>
      <c r="B21" s="126"/>
      <c r="C21" s="126" t="s">
        <v>349</v>
      </c>
      <c r="D21" s="126" t="s">
        <v>350</v>
      </c>
      <c r="E21" s="28" t="s">
        <v>8</v>
      </c>
      <c r="F21" s="28" t="s">
        <v>351</v>
      </c>
      <c r="G21" s="28" t="s">
        <v>352</v>
      </c>
      <c r="H21" s="28" t="s">
        <v>353</v>
      </c>
      <c r="I21" s="28"/>
      <c r="J21" s="113"/>
      <c r="K21" s="113"/>
      <c r="L21" s="113"/>
    </row>
    <row r="22" spans="1:12" ht="36.75" customHeight="1" x14ac:dyDescent="0.15">
      <c r="A22" s="126"/>
      <c r="B22" s="126"/>
      <c r="C22" s="126"/>
      <c r="D22" s="126"/>
      <c r="E22" s="28" t="s">
        <v>13</v>
      </c>
      <c r="F22" s="29">
        <v>10</v>
      </c>
      <c r="G22" s="29">
        <v>25</v>
      </c>
      <c r="H22" s="29">
        <v>50</v>
      </c>
      <c r="I22" s="8"/>
      <c r="J22" s="8"/>
      <c r="K22" s="8">
        <v>50</v>
      </c>
      <c r="L22" s="8"/>
    </row>
    <row r="23" spans="1:12" ht="36.75" customHeight="1" x14ac:dyDescent="0.15">
      <c r="A23" s="126"/>
      <c r="B23" s="126"/>
      <c r="C23" s="126" t="s">
        <v>354</v>
      </c>
      <c r="D23" s="126" t="s">
        <v>355</v>
      </c>
      <c r="E23" s="28" t="s">
        <v>8</v>
      </c>
      <c r="F23" s="28" t="s">
        <v>351</v>
      </c>
      <c r="G23" s="28" t="s">
        <v>352</v>
      </c>
      <c r="H23" s="28" t="s">
        <v>353</v>
      </c>
      <c r="I23" s="28"/>
      <c r="J23" s="113"/>
      <c r="K23" s="113"/>
      <c r="L23" s="113"/>
    </row>
    <row r="24" spans="1:12" ht="36.75" customHeight="1" x14ac:dyDescent="0.15">
      <c r="A24" s="126"/>
      <c r="B24" s="126"/>
      <c r="C24" s="126"/>
      <c r="D24" s="126"/>
      <c r="E24" s="28" t="s">
        <v>13</v>
      </c>
      <c r="F24" s="29">
        <v>12</v>
      </c>
      <c r="G24" s="29">
        <v>20</v>
      </c>
      <c r="H24" s="29">
        <v>30</v>
      </c>
      <c r="I24" s="8"/>
      <c r="J24" s="8">
        <v>30</v>
      </c>
      <c r="K24" s="8">
        <v>30</v>
      </c>
      <c r="L24" s="8"/>
    </row>
    <row r="25" spans="1:12" ht="36.75" customHeight="1" x14ac:dyDescent="0.15">
      <c r="A25" s="126"/>
      <c r="B25" s="126"/>
      <c r="C25" s="126" t="s">
        <v>356</v>
      </c>
      <c r="D25" s="126" t="s">
        <v>357</v>
      </c>
      <c r="E25" s="4" t="s">
        <v>8</v>
      </c>
      <c r="F25" s="28" t="s">
        <v>358</v>
      </c>
      <c r="G25" s="28" t="s">
        <v>359</v>
      </c>
      <c r="H25" s="28" t="s">
        <v>360</v>
      </c>
      <c r="I25" s="4"/>
      <c r="J25" s="113"/>
      <c r="K25" s="113"/>
      <c r="L25" s="113"/>
    </row>
    <row r="26" spans="1:12" ht="36.75" customHeight="1" x14ac:dyDescent="0.15">
      <c r="A26" s="126"/>
      <c r="B26" s="126"/>
      <c r="C26" s="126"/>
      <c r="D26" s="126"/>
      <c r="E26" s="4" t="s">
        <v>13</v>
      </c>
      <c r="F26" s="5">
        <v>0</v>
      </c>
      <c r="G26" s="5">
        <v>30</v>
      </c>
      <c r="H26" s="5" t="s">
        <v>108</v>
      </c>
      <c r="I26" s="8"/>
      <c r="J26" s="8"/>
      <c r="K26" s="8"/>
      <c r="L26" s="8"/>
    </row>
    <row r="27" spans="1:12" ht="21" customHeight="1" x14ac:dyDescent="0.15">
      <c r="A27" s="126"/>
      <c r="B27" s="126"/>
      <c r="C27" s="126" t="s">
        <v>28</v>
      </c>
      <c r="D27" s="152" t="s">
        <v>183</v>
      </c>
      <c r="E27" s="4" t="s">
        <v>8</v>
      </c>
      <c r="F27" s="4" t="s">
        <v>30</v>
      </c>
      <c r="G27" s="4" t="s">
        <v>143</v>
      </c>
      <c r="H27" s="4" t="s">
        <v>32</v>
      </c>
      <c r="I27" s="4"/>
      <c r="J27" s="113"/>
      <c r="K27" s="113"/>
      <c r="L27" s="113"/>
    </row>
    <row r="28" spans="1:12" ht="28.5" customHeight="1" x14ac:dyDescent="0.15">
      <c r="A28" s="126"/>
      <c r="B28" s="126"/>
      <c r="C28" s="126"/>
      <c r="D28" s="152"/>
      <c r="E28" s="4" t="s">
        <v>13</v>
      </c>
      <c r="F28" s="5">
        <v>0</v>
      </c>
      <c r="G28" s="5">
        <v>25</v>
      </c>
      <c r="H28" s="5">
        <v>50</v>
      </c>
      <c r="I28" s="8"/>
      <c r="J28" s="8"/>
      <c r="K28" s="8"/>
      <c r="L28" s="8"/>
    </row>
    <row r="29" spans="1:12" ht="25.5" customHeight="1" x14ac:dyDescent="0.15">
      <c r="A29" s="126">
        <v>3</v>
      </c>
      <c r="B29" s="126" t="s">
        <v>205</v>
      </c>
      <c r="C29" s="126" t="s">
        <v>361</v>
      </c>
      <c r="D29" s="126" t="s">
        <v>362</v>
      </c>
      <c r="E29" s="4" t="s">
        <v>8</v>
      </c>
      <c r="F29" s="4" t="s">
        <v>88</v>
      </c>
      <c r="G29" s="4" t="s">
        <v>47</v>
      </c>
      <c r="H29" s="4" t="s">
        <v>101</v>
      </c>
      <c r="I29" s="4"/>
      <c r="J29" s="113"/>
      <c r="K29" s="113"/>
      <c r="L29" s="113"/>
    </row>
    <row r="30" spans="1:12" ht="25.5" customHeight="1" x14ac:dyDescent="0.15">
      <c r="A30" s="126"/>
      <c r="B30" s="126"/>
      <c r="C30" s="126"/>
      <c r="D30" s="126"/>
      <c r="E30" s="4" t="s">
        <v>13</v>
      </c>
      <c r="F30" s="5">
        <v>0</v>
      </c>
      <c r="G30" s="5">
        <v>20</v>
      </c>
      <c r="H30" s="5">
        <v>30</v>
      </c>
      <c r="I30" s="8"/>
      <c r="J30" s="8"/>
      <c r="K30" s="8"/>
      <c r="L30" s="8"/>
    </row>
    <row r="31" spans="1:12" ht="26.25" customHeight="1" x14ac:dyDescent="0.15">
      <c r="A31" s="126"/>
      <c r="B31" s="126"/>
      <c r="C31" s="126" t="s">
        <v>365</v>
      </c>
      <c r="D31" s="126" t="s">
        <v>364</v>
      </c>
      <c r="E31" s="28" t="s">
        <v>363</v>
      </c>
      <c r="F31" s="4" t="s">
        <v>88</v>
      </c>
      <c r="G31" s="4" t="s">
        <v>184</v>
      </c>
      <c r="H31" s="4" t="s">
        <v>185</v>
      </c>
      <c r="I31" s="4"/>
      <c r="J31" s="113"/>
      <c r="K31" s="113"/>
      <c r="L31" s="113"/>
    </row>
    <row r="32" spans="1:12" ht="26.25" customHeight="1" x14ac:dyDescent="0.15">
      <c r="A32" s="126"/>
      <c r="B32" s="126"/>
      <c r="C32" s="126"/>
      <c r="D32" s="126"/>
      <c r="E32" s="4" t="s">
        <v>13</v>
      </c>
      <c r="F32" s="5">
        <v>0</v>
      </c>
      <c r="G32" s="5">
        <v>15</v>
      </c>
      <c r="H32" s="5">
        <v>40</v>
      </c>
      <c r="I32" s="8"/>
      <c r="J32" s="8"/>
      <c r="K32" s="8"/>
      <c r="L32" s="8"/>
    </row>
    <row r="33" spans="1:12" ht="26.25" customHeight="1" x14ac:dyDescent="0.15">
      <c r="A33" s="126"/>
      <c r="B33" s="126"/>
      <c r="C33" s="126" t="s">
        <v>366</v>
      </c>
      <c r="D33" s="126" t="s">
        <v>367</v>
      </c>
      <c r="E33" s="4" t="s">
        <v>8</v>
      </c>
      <c r="F33" s="4" t="s">
        <v>88</v>
      </c>
      <c r="G33" s="4" t="s">
        <v>47</v>
      </c>
      <c r="H33" s="4" t="s">
        <v>101</v>
      </c>
      <c r="I33" s="4"/>
      <c r="J33" s="113"/>
      <c r="K33" s="113"/>
      <c r="L33" s="113"/>
    </row>
    <row r="34" spans="1:12" ht="26.25" customHeight="1" x14ac:dyDescent="0.15">
      <c r="A34" s="126"/>
      <c r="B34" s="126"/>
      <c r="C34" s="126"/>
      <c r="D34" s="126"/>
      <c r="E34" s="4" t="s">
        <v>13</v>
      </c>
      <c r="F34" s="5">
        <v>0</v>
      </c>
      <c r="G34" s="5">
        <v>40</v>
      </c>
      <c r="H34" s="5">
        <v>65</v>
      </c>
      <c r="I34" s="8"/>
      <c r="J34" s="8"/>
      <c r="K34" s="8"/>
      <c r="L34" s="8"/>
    </row>
    <row r="35" spans="1:12" ht="27.75" customHeight="1" x14ac:dyDescent="0.15">
      <c r="A35" s="126"/>
      <c r="B35" s="126"/>
      <c r="C35" s="126" t="s">
        <v>368</v>
      </c>
      <c r="D35" s="126" t="s">
        <v>186</v>
      </c>
      <c r="E35" s="4" t="s">
        <v>8</v>
      </c>
      <c r="F35" s="4" t="s">
        <v>88</v>
      </c>
      <c r="G35" s="4" t="s">
        <v>101</v>
      </c>
      <c r="H35" s="4" t="s">
        <v>187</v>
      </c>
      <c r="I35" s="4"/>
      <c r="J35" s="113"/>
      <c r="K35" s="113"/>
      <c r="L35" s="113"/>
    </row>
    <row r="36" spans="1:12" ht="27.75" customHeight="1" x14ac:dyDescent="0.15">
      <c r="A36" s="126"/>
      <c r="B36" s="126"/>
      <c r="C36" s="126"/>
      <c r="D36" s="126"/>
      <c r="E36" s="4" t="s">
        <v>13</v>
      </c>
      <c r="F36" s="5">
        <v>0</v>
      </c>
      <c r="G36" s="5">
        <v>20</v>
      </c>
      <c r="H36" s="5">
        <v>60</v>
      </c>
      <c r="I36" s="8"/>
      <c r="J36" s="8"/>
      <c r="K36" s="8"/>
      <c r="L36" s="8"/>
    </row>
    <row r="37" spans="1:12" ht="28.5" customHeight="1" x14ac:dyDescent="0.15">
      <c r="A37" s="126"/>
      <c r="B37" s="126"/>
      <c r="C37" s="126" t="s">
        <v>369</v>
      </c>
      <c r="D37" s="126" t="s">
        <v>188</v>
      </c>
      <c r="E37" s="28" t="s">
        <v>8</v>
      </c>
      <c r="F37" s="28" t="s">
        <v>189</v>
      </c>
      <c r="G37" s="28" t="s">
        <v>190</v>
      </c>
      <c r="H37" s="28" t="s">
        <v>191</v>
      </c>
      <c r="I37" s="28"/>
      <c r="J37" s="113"/>
      <c r="K37" s="113"/>
      <c r="L37" s="113"/>
    </row>
    <row r="38" spans="1:12" ht="28.5" customHeight="1" x14ac:dyDescent="0.15">
      <c r="A38" s="126"/>
      <c r="B38" s="126"/>
      <c r="C38" s="126"/>
      <c r="D38" s="126"/>
      <c r="E38" s="28" t="s">
        <v>13</v>
      </c>
      <c r="F38" s="29">
        <v>0</v>
      </c>
      <c r="G38" s="29">
        <v>40</v>
      </c>
      <c r="H38" s="29" t="s">
        <v>108</v>
      </c>
      <c r="I38" s="8"/>
      <c r="J38" s="8"/>
      <c r="K38" s="8"/>
      <c r="L38" s="8"/>
    </row>
    <row r="39" spans="1:12" ht="28.5" customHeight="1" x14ac:dyDescent="0.15">
      <c r="A39" s="126"/>
      <c r="B39" s="126"/>
      <c r="C39" s="126" t="s">
        <v>370</v>
      </c>
      <c r="D39" s="126" t="s">
        <v>371</v>
      </c>
      <c r="E39" s="4" t="s">
        <v>8</v>
      </c>
      <c r="F39" s="28" t="s">
        <v>372</v>
      </c>
      <c r="G39" s="28" t="s">
        <v>359</v>
      </c>
      <c r="H39" s="28" t="s">
        <v>360</v>
      </c>
      <c r="I39" s="4"/>
      <c r="J39" s="113"/>
      <c r="K39" s="113"/>
      <c r="L39" s="113"/>
    </row>
    <row r="40" spans="1:12" ht="28.5" customHeight="1" x14ac:dyDescent="0.15">
      <c r="A40" s="126"/>
      <c r="B40" s="126"/>
      <c r="C40" s="126"/>
      <c r="D40" s="126"/>
      <c r="E40" s="4" t="s">
        <v>13</v>
      </c>
      <c r="F40" s="5">
        <v>0</v>
      </c>
      <c r="G40" s="5">
        <v>20</v>
      </c>
      <c r="H40" s="5">
        <v>40</v>
      </c>
      <c r="I40" s="8"/>
      <c r="J40" s="8"/>
      <c r="K40" s="8"/>
      <c r="L40" s="8"/>
    </row>
    <row r="41" spans="1:12" ht="24" customHeight="1" x14ac:dyDescent="0.15">
      <c r="A41" s="126">
        <v>4</v>
      </c>
      <c r="B41" s="126" t="s">
        <v>206</v>
      </c>
      <c r="C41" s="126" t="s">
        <v>210</v>
      </c>
      <c r="D41" s="126" t="s">
        <v>193</v>
      </c>
      <c r="E41" s="4" t="s">
        <v>8</v>
      </c>
      <c r="F41" s="4" t="s">
        <v>30</v>
      </c>
      <c r="G41" s="4" t="s">
        <v>40</v>
      </c>
      <c r="H41" s="4" t="s">
        <v>55</v>
      </c>
      <c r="I41" s="4"/>
      <c r="J41" s="113"/>
      <c r="K41" s="113"/>
      <c r="L41" s="113"/>
    </row>
    <row r="42" spans="1:12" ht="24" customHeight="1" x14ac:dyDescent="0.15">
      <c r="A42" s="126"/>
      <c r="B42" s="126"/>
      <c r="C42" s="126"/>
      <c r="D42" s="126"/>
      <c r="E42" s="4" t="s">
        <v>13</v>
      </c>
      <c r="F42" s="5">
        <v>0</v>
      </c>
      <c r="G42" s="5">
        <v>15</v>
      </c>
      <c r="H42" s="5">
        <v>30</v>
      </c>
      <c r="I42" s="8">
        <v>15</v>
      </c>
      <c r="J42" s="8">
        <v>15</v>
      </c>
      <c r="K42" s="8">
        <v>15</v>
      </c>
      <c r="L42" s="8">
        <v>15</v>
      </c>
    </row>
    <row r="43" spans="1:12" ht="36.75" customHeight="1" x14ac:dyDescent="0.15">
      <c r="A43" s="126"/>
      <c r="B43" s="126"/>
      <c r="C43" s="126" t="s">
        <v>209</v>
      </c>
      <c r="D43" s="126" t="s">
        <v>194</v>
      </c>
      <c r="E43" s="4" t="s">
        <v>8</v>
      </c>
      <c r="F43" s="4" t="s">
        <v>30</v>
      </c>
      <c r="G43" s="4" t="s">
        <v>40</v>
      </c>
      <c r="H43" s="4" t="s">
        <v>55</v>
      </c>
      <c r="I43" s="4"/>
      <c r="J43" s="113"/>
      <c r="K43" s="113"/>
      <c r="L43" s="113"/>
    </row>
    <row r="44" spans="1:12" ht="36.75" customHeight="1" x14ac:dyDescent="0.15">
      <c r="A44" s="126"/>
      <c r="B44" s="126"/>
      <c r="C44" s="126"/>
      <c r="D44" s="126"/>
      <c r="E44" s="4" t="s">
        <v>13</v>
      </c>
      <c r="F44" s="5">
        <v>0</v>
      </c>
      <c r="G44" s="5">
        <v>35</v>
      </c>
      <c r="H44" s="5" t="s">
        <v>108</v>
      </c>
      <c r="I44" s="8"/>
      <c r="J44" s="8"/>
      <c r="K44" s="8"/>
      <c r="L44" s="8"/>
    </row>
    <row r="45" spans="1:12" ht="28.5" customHeight="1" x14ac:dyDescent="0.15">
      <c r="A45" s="126"/>
      <c r="B45" s="126"/>
      <c r="C45" s="126" t="s">
        <v>373</v>
      </c>
      <c r="D45" s="126" t="s">
        <v>208</v>
      </c>
      <c r="E45" s="4" t="s">
        <v>8</v>
      </c>
      <c r="F45" s="4" t="s">
        <v>88</v>
      </c>
      <c r="G45" s="4" t="s">
        <v>207</v>
      </c>
      <c r="H45" s="4" t="s">
        <v>101</v>
      </c>
      <c r="I45" s="4"/>
      <c r="J45" s="113"/>
      <c r="K45" s="113"/>
      <c r="L45" s="113"/>
    </row>
    <row r="46" spans="1:12" ht="28.5" customHeight="1" x14ac:dyDescent="0.15">
      <c r="A46" s="126"/>
      <c r="B46" s="126"/>
      <c r="C46" s="126"/>
      <c r="D46" s="126"/>
      <c r="E46" s="4" t="s">
        <v>13</v>
      </c>
      <c r="F46" s="5">
        <v>0</v>
      </c>
      <c r="G46" s="5">
        <v>30</v>
      </c>
      <c r="H46" s="5">
        <v>40</v>
      </c>
      <c r="I46" s="8"/>
      <c r="J46" s="8"/>
      <c r="K46" s="8"/>
      <c r="L46" s="8"/>
    </row>
    <row r="47" spans="1:12" ht="30.75" customHeight="1" x14ac:dyDescent="0.15">
      <c r="A47" s="126"/>
      <c r="B47" s="126"/>
      <c r="C47" s="126" t="s">
        <v>211</v>
      </c>
      <c r="D47" s="126" t="s">
        <v>195</v>
      </c>
      <c r="E47" s="4" t="s">
        <v>8</v>
      </c>
      <c r="F47" s="4" t="s">
        <v>30</v>
      </c>
      <c r="G47" s="4" t="s">
        <v>182</v>
      </c>
      <c r="H47" s="4" t="s">
        <v>196</v>
      </c>
      <c r="I47" s="4"/>
      <c r="J47" s="113"/>
      <c r="K47" s="113"/>
      <c r="L47" s="113"/>
    </row>
    <row r="48" spans="1:12" ht="30.75" customHeight="1" x14ac:dyDescent="0.15">
      <c r="A48" s="126"/>
      <c r="B48" s="126"/>
      <c r="C48" s="126"/>
      <c r="D48" s="126"/>
      <c r="E48" s="4" t="s">
        <v>13</v>
      </c>
      <c r="F48" s="5">
        <v>0</v>
      </c>
      <c r="G48" s="5">
        <v>30</v>
      </c>
      <c r="H48" s="5" t="s">
        <v>108</v>
      </c>
      <c r="I48" s="8"/>
      <c r="J48" s="8"/>
      <c r="K48" s="8"/>
      <c r="L48" s="8"/>
    </row>
    <row r="49" spans="1:409" ht="36.75" customHeight="1" x14ac:dyDescent="0.15">
      <c r="A49" s="150">
        <v>5</v>
      </c>
      <c r="B49" s="150" t="s">
        <v>255</v>
      </c>
      <c r="C49" s="126" t="s">
        <v>212</v>
      </c>
      <c r="D49" s="126" t="s">
        <v>197</v>
      </c>
      <c r="E49" s="4" t="s">
        <v>8</v>
      </c>
      <c r="F49" s="4" t="s">
        <v>30</v>
      </c>
      <c r="G49" s="4" t="s">
        <v>40</v>
      </c>
      <c r="H49" s="4" t="s">
        <v>55</v>
      </c>
      <c r="I49" s="4"/>
      <c r="J49" s="113"/>
      <c r="K49" s="113"/>
      <c r="L49" s="113"/>
    </row>
    <row r="50" spans="1:409" ht="36.75" customHeight="1" x14ac:dyDescent="0.15">
      <c r="A50" s="150"/>
      <c r="B50" s="150"/>
      <c r="C50" s="126"/>
      <c r="D50" s="126"/>
      <c r="E50" s="4" t="s">
        <v>13</v>
      </c>
      <c r="F50" s="5">
        <v>0</v>
      </c>
      <c r="G50" s="5">
        <v>10</v>
      </c>
      <c r="H50" s="5">
        <v>20</v>
      </c>
      <c r="I50" s="8"/>
      <c r="J50" s="8"/>
      <c r="K50" s="8"/>
      <c r="L50" s="8"/>
    </row>
    <row r="51" spans="1:409" ht="36.75" customHeight="1" x14ac:dyDescent="0.15">
      <c r="A51" s="150"/>
      <c r="B51" s="150"/>
      <c r="C51" s="126" t="s">
        <v>309</v>
      </c>
      <c r="D51" s="126" t="s">
        <v>198</v>
      </c>
      <c r="E51" s="4" t="s">
        <v>8</v>
      </c>
      <c r="F51" s="4" t="s">
        <v>88</v>
      </c>
      <c r="G51" s="4" t="s">
        <v>185</v>
      </c>
      <c r="H51" s="4" t="s">
        <v>199</v>
      </c>
      <c r="I51" s="4"/>
      <c r="J51" s="113"/>
      <c r="K51" s="113"/>
      <c r="L51" s="113"/>
    </row>
    <row r="52" spans="1:409" ht="36.75" customHeight="1" x14ac:dyDescent="0.15">
      <c r="A52" s="150"/>
      <c r="B52" s="150"/>
      <c r="C52" s="126"/>
      <c r="D52" s="126"/>
      <c r="E52" s="4" t="s">
        <v>13</v>
      </c>
      <c r="F52" s="5">
        <v>0</v>
      </c>
      <c r="G52" s="5">
        <v>15</v>
      </c>
      <c r="H52" s="5">
        <v>25</v>
      </c>
      <c r="I52" s="8"/>
      <c r="J52" s="8"/>
      <c r="K52" s="8"/>
      <c r="L52" s="8"/>
    </row>
    <row r="53" spans="1:409" ht="26.25" customHeight="1" x14ac:dyDescent="0.15">
      <c r="A53" s="150"/>
      <c r="B53" s="150"/>
      <c r="C53" s="126" t="s">
        <v>310</v>
      </c>
      <c r="D53" s="126" t="s">
        <v>200</v>
      </c>
      <c r="E53" s="4" t="s">
        <v>8</v>
      </c>
      <c r="F53" s="4" t="s">
        <v>88</v>
      </c>
      <c r="G53" s="4" t="s">
        <v>213</v>
      </c>
      <c r="H53" s="4" t="s">
        <v>214</v>
      </c>
      <c r="I53" s="4"/>
      <c r="J53" s="113"/>
      <c r="K53" s="113"/>
      <c r="L53" s="113"/>
    </row>
    <row r="54" spans="1:409" ht="26.25" customHeight="1" x14ac:dyDescent="0.15">
      <c r="A54" s="150"/>
      <c r="B54" s="150"/>
      <c r="C54" s="126"/>
      <c r="D54" s="126"/>
      <c r="E54" s="4" t="s">
        <v>13</v>
      </c>
      <c r="F54" s="5">
        <v>0</v>
      </c>
      <c r="G54" s="5">
        <v>25</v>
      </c>
      <c r="H54" s="5">
        <v>35</v>
      </c>
      <c r="I54" s="8"/>
      <c r="J54" s="8"/>
      <c r="K54" s="8"/>
      <c r="L54" s="8"/>
    </row>
    <row r="55" spans="1:409" ht="26.25" customHeight="1" x14ac:dyDescent="0.15">
      <c r="A55" s="150"/>
      <c r="B55" s="150"/>
      <c r="C55" s="126" t="s">
        <v>201</v>
      </c>
      <c r="D55" s="126" t="s">
        <v>202</v>
      </c>
      <c r="E55" s="4" t="s">
        <v>8</v>
      </c>
      <c r="F55" s="4" t="s">
        <v>30</v>
      </c>
      <c r="G55" s="4" t="s">
        <v>54</v>
      </c>
      <c r="H55" s="4" t="s">
        <v>203</v>
      </c>
      <c r="I55" s="4"/>
      <c r="J55" s="113"/>
      <c r="K55" s="113"/>
      <c r="L55" s="113"/>
    </row>
    <row r="56" spans="1:409" ht="26.25" customHeight="1" x14ac:dyDescent="0.15">
      <c r="A56" s="150"/>
      <c r="B56" s="150"/>
      <c r="C56" s="126"/>
      <c r="D56" s="126"/>
      <c r="E56" s="4" t="s">
        <v>13</v>
      </c>
      <c r="F56" s="5">
        <v>0</v>
      </c>
      <c r="G56" s="5">
        <v>15</v>
      </c>
      <c r="H56" s="5">
        <v>35</v>
      </c>
      <c r="I56" s="8"/>
      <c r="J56" s="8"/>
      <c r="K56" s="8"/>
      <c r="L56" s="8"/>
    </row>
    <row r="58" spans="1:409" ht="26.25" customHeight="1" x14ac:dyDescent="0.15">
      <c r="A58" s="146" t="s">
        <v>267</v>
      </c>
      <c r="B58" s="146"/>
      <c r="C58" s="146"/>
      <c r="D58" s="146"/>
      <c r="E58" s="146"/>
      <c r="F58" s="146"/>
      <c r="G58" s="55"/>
      <c r="H58" s="56" t="s">
        <v>398</v>
      </c>
      <c r="I58" s="58" t="s">
        <v>308</v>
      </c>
      <c r="J58" s="58" t="s">
        <v>443</v>
      </c>
      <c r="K58" s="58" t="s">
        <v>446</v>
      </c>
      <c r="L58" s="58" t="s">
        <v>448</v>
      </c>
    </row>
    <row r="59" spans="1:409" ht="18" x14ac:dyDescent="0.15">
      <c r="G59" s="151" t="s">
        <v>400</v>
      </c>
      <c r="H59" s="57" t="s">
        <v>397</v>
      </c>
      <c r="I59" s="54">
        <f t="array" ref="I59:I60">BCIx_GML_solve(I3:I14)</f>
        <v>25</v>
      </c>
      <c r="J59" s="54">
        <f t="array" ref="J59:J60">BCIx_GML_solve(J3:J14)</f>
        <v>78</v>
      </c>
      <c r="K59" s="54">
        <f t="array" ref="K59:K60">BCIx_GML_solve(K3:K14)</f>
        <v>85</v>
      </c>
      <c r="L59" s="54">
        <f t="array" ref="L59:L60">BCIx_GML_solve(L3:L14)</f>
        <v>15</v>
      </c>
    </row>
    <row r="60" spans="1:409" s="52" customFormat="1" ht="17.25" customHeight="1" x14ac:dyDescent="0.15">
      <c r="G60" s="151"/>
      <c r="H60" s="53" t="s">
        <v>393</v>
      </c>
      <c r="I60" s="54">
        <v>18.639999999999997</v>
      </c>
      <c r="J60" s="54">
        <v>47.286084559753199</v>
      </c>
      <c r="K60" s="54">
        <v>50.096682271524529</v>
      </c>
      <c r="L60" s="54">
        <v>15</v>
      </c>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c r="KT60"/>
      <c r="KU60"/>
      <c r="KV60"/>
      <c r="KW60"/>
      <c r="KX60"/>
      <c r="KY60"/>
      <c r="KZ60"/>
      <c r="LA60"/>
      <c r="LB60"/>
      <c r="LC60"/>
      <c r="LD60"/>
      <c r="LE60"/>
      <c r="LF60"/>
      <c r="LG60"/>
      <c r="LH60"/>
      <c r="LI60"/>
      <c r="LJ60"/>
      <c r="LK60"/>
      <c r="LL60"/>
      <c r="LM60"/>
      <c r="LN60"/>
      <c r="LO60"/>
      <c r="LP60"/>
      <c r="LQ60"/>
      <c r="LR60"/>
      <c r="LS60"/>
      <c r="LT60"/>
      <c r="LU60"/>
      <c r="LV60"/>
      <c r="LW60"/>
      <c r="LX60"/>
      <c r="LY60"/>
      <c r="LZ60"/>
      <c r="MA60"/>
      <c r="MB60"/>
      <c r="MC60"/>
      <c r="MD60"/>
      <c r="ME60"/>
      <c r="MF60"/>
      <c r="MG60"/>
      <c r="MH60"/>
      <c r="MI60"/>
      <c r="MJ60"/>
      <c r="MK60"/>
      <c r="ML60"/>
      <c r="MM60"/>
      <c r="MN60"/>
      <c r="MO60"/>
      <c r="MP60"/>
      <c r="MQ60"/>
      <c r="MR60"/>
      <c r="MS60"/>
      <c r="MT60"/>
      <c r="MU60"/>
      <c r="MV60"/>
      <c r="MW60"/>
      <c r="MX60"/>
      <c r="MY60"/>
      <c r="MZ60"/>
      <c r="NA60"/>
      <c r="NB60"/>
      <c r="NC60"/>
      <c r="ND60"/>
      <c r="NE60"/>
      <c r="NF60"/>
      <c r="NG60"/>
      <c r="NH60"/>
      <c r="NI60"/>
      <c r="NJ60"/>
      <c r="NK60"/>
      <c r="NL60"/>
      <c r="NM60"/>
      <c r="NN60"/>
      <c r="NO60"/>
      <c r="NP60"/>
      <c r="NQ60"/>
      <c r="NR60"/>
      <c r="NS60"/>
      <c r="NT60"/>
      <c r="NU60"/>
      <c r="NV60"/>
      <c r="NW60"/>
      <c r="NX60"/>
      <c r="NY60"/>
      <c r="NZ60"/>
      <c r="OA60"/>
      <c r="OB60"/>
      <c r="OC60"/>
      <c r="OD60"/>
      <c r="OE60"/>
      <c r="OF60"/>
      <c r="OG60"/>
      <c r="OH60"/>
      <c r="OI60"/>
      <c r="OJ60"/>
      <c r="OK60"/>
      <c r="OL60"/>
      <c r="OM60"/>
      <c r="ON60"/>
      <c r="OO60"/>
      <c r="OP60"/>
      <c r="OQ60"/>
      <c r="OR60"/>
      <c r="OS60"/>
    </row>
    <row r="61" spans="1:409" ht="17.25" customHeight="1" x14ac:dyDescent="0.15">
      <c r="G61" s="151" t="s">
        <v>402</v>
      </c>
      <c r="H61" s="57" t="s">
        <v>397</v>
      </c>
      <c r="I61" s="54">
        <f t="array" ref="I61:I62">BCIx_DTS_solve(I15:I28)</f>
        <v>0</v>
      </c>
      <c r="J61" s="54">
        <f t="array" ref="J61:J62">BCIx_DTS_solve(J15:J28)</f>
        <v>30</v>
      </c>
      <c r="K61" s="54">
        <f t="array" ref="K61:K62">BCIx_DTS_solve(K15:K28)</f>
        <v>80</v>
      </c>
      <c r="L61" s="54">
        <f t="array" ref="L61:L62">BCIx_DTS_solve(L15:L28)</f>
        <v>0</v>
      </c>
    </row>
    <row r="62" spans="1:409" ht="17.25" customHeight="1" x14ac:dyDescent="0.15">
      <c r="G62" s="151"/>
      <c r="H62" s="53" t="s">
        <v>393</v>
      </c>
      <c r="I62" s="54">
        <v>0</v>
      </c>
      <c r="J62" s="54">
        <v>30</v>
      </c>
      <c r="K62" s="54">
        <v>59.4921875</v>
      </c>
      <c r="L62" s="54">
        <v>0</v>
      </c>
    </row>
    <row r="63" spans="1:409" ht="17.25" customHeight="1" x14ac:dyDescent="0.15">
      <c r="G63" s="151" t="s">
        <v>204</v>
      </c>
      <c r="H63" s="57" t="s">
        <v>397</v>
      </c>
      <c r="I63" s="54">
        <f t="array" ref="I63:I64">BCIx_ZZ_solve(I29:I40)</f>
        <v>0</v>
      </c>
      <c r="J63" s="54">
        <f t="array" ref="J63:J64">BCIx_ZZ_solve(J29:J40)</f>
        <v>0</v>
      </c>
      <c r="K63" s="54">
        <f t="array" ref="K63:K64">BCIx_ZZ_solve(K29:K40)</f>
        <v>0</v>
      </c>
      <c r="L63" s="54">
        <f t="array" ref="L63:L64">BCIx_ZZ_solve(L29:L40)</f>
        <v>0</v>
      </c>
    </row>
    <row r="64" spans="1:409" ht="17.25" customHeight="1" x14ac:dyDescent="0.15">
      <c r="G64" s="151"/>
      <c r="H64" s="53" t="s">
        <v>393</v>
      </c>
      <c r="I64" s="54">
        <v>0</v>
      </c>
      <c r="J64" s="54">
        <v>0</v>
      </c>
      <c r="K64" s="54">
        <v>0</v>
      </c>
      <c r="L64" s="54">
        <v>0</v>
      </c>
    </row>
    <row r="65" spans="1:12" ht="17.25" customHeight="1" x14ac:dyDescent="0.15">
      <c r="G65" s="151" t="s">
        <v>192</v>
      </c>
      <c r="H65" s="57" t="s">
        <v>397</v>
      </c>
      <c r="I65" s="54">
        <f t="array" ref="I65:I66">BCIx_JC_solve(I41:I48)</f>
        <v>15</v>
      </c>
      <c r="J65" s="54">
        <f t="array" ref="J65:J66">BCIx_JC_solve(J41:J48)</f>
        <v>15</v>
      </c>
      <c r="K65" s="54">
        <f t="array" ref="K65:K66">BCIx_JC_solve(K41:K48)</f>
        <v>15</v>
      </c>
      <c r="L65" s="54">
        <f t="array" ref="L65:L66">BCIx_JC_solve(L41:L48)</f>
        <v>15</v>
      </c>
    </row>
    <row r="66" spans="1:12" ht="17.25" customHeight="1" x14ac:dyDescent="0.15">
      <c r="G66" s="151"/>
      <c r="H66" s="53" t="s">
        <v>393</v>
      </c>
      <c r="I66" s="54">
        <v>15</v>
      </c>
      <c r="J66" s="54">
        <v>15</v>
      </c>
      <c r="K66" s="54">
        <v>15</v>
      </c>
      <c r="L66" s="54">
        <v>15</v>
      </c>
    </row>
    <row r="67" spans="1:12" ht="18" x14ac:dyDescent="0.15">
      <c r="G67" s="151" t="s">
        <v>396</v>
      </c>
      <c r="H67" s="57" t="s">
        <v>397</v>
      </c>
      <c r="I67" s="54">
        <f t="array" ref="I67:I68">BCIx_EQ_solve(I49:I56)</f>
        <v>0</v>
      </c>
      <c r="J67" s="54">
        <f t="array" ref="J67:J68">BCIx_EQ_solve(J49:J56)</f>
        <v>0</v>
      </c>
      <c r="K67" s="54">
        <f t="array" ref="K67:K68">BCIx_EQ_solve(K49:K56)</f>
        <v>0</v>
      </c>
      <c r="L67" s="54">
        <f t="array" ref="L67:L68">BCIx_EQ_solve(L49:L56)</f>
        <v>0</v>
      </c>
    </row>
    <row r="68" spans="1:12" x14ac:dyDescent="0.15">
      <c r="G68" s="151"/>
      <c r="H68" s="53" t="s">
        <v>393</v>
      </c>
      <c r="I68" s="54">
        <v>0</v>
      </c>
      <c r="J68" s="54">
        <v>0</v>
      </c>
      <c r="K68" s="54">
        <v>0</v>
      </c>
      <c r="L68" s="54">
        <v>0</v>
      </c>
    </row>
    <row r="69" spans="1:12" ht="18" customHeight="1" x14ac:dyDescent="0.15"/>
    <row r="70" spans="1:12" ht="18" customHeight="1" x14ac:dyDescent="0.15"/>
    <row r="71" spans="1:12" ht="18" customHeight="1" x14ac:dyDescent="0.15"/>
    <row r="72" spans="1:12" ht="18" customHeight="1" x14ac:dyDescent="0.15"/>
    <row r="73" spans="1:12" ht="18" customHeight="1" x14ac:dyDescent="0.15"/>
    <row r="74" spans="1:12" ht="18" customHeight="1" x14ac:dyDescent="0.15"/>
    <row r="75" spans="1:12" ht="18" customHeight="1" x14ac:dyDescent="0.15"/>
    <row r="76" spans="1:12" ht="18" customHeight="1" x14ac:dyDescent="0.15"/>
    <row r="79" spans="1:12" ht="18.75" customHeight="1" x14ac:dyDescent="0.15">
      <c r="A79" s="10"/>
    </row>
    <row r="80" spans="1:12" ht="18.75" customHeight="1" x14ac:dyDescent="0.15">
      <c r="A80" s="10"/>
    </row>
    <row r="81" spans="1:1" ht="18.75" customHeight="1" x14ac:dyDescent="0.15">
      <c r="A81" s="10"/>
    </row>
    <row r="82" spans="1:1" ht="18.75" customHeight="1" x14ac:dyDescent="0.15">
      <c r="A82" s="10"/>
    </row>
    <row r="83" spans="1:1" ht="18.75" customHeight="1" x14ac:dyDescent="0.15">
      <c r="A83" s="10"/>
    </row>
    <row r="84" spans="1:1" ht="18.75" customHeight="1" x14ac:dyDescent="0.15">
      <c r="A84" s="10"/>
    </row>
    <row r="85" spans="1:1" ht="18.75" customHeight="1" x14ac:dyDescent="0.15">
      <c r="A85" s="10"/>
    </row>
    <row r="86" spans="1:1" x14ac:dyDescent="0.15">
      <c r="A86" s="10"/>
    </row>
    <row r="89" spans="1:1" ht="18.75" customHeight="1" x14ac:dyDescent="0.15"/>
    <row r="90" spans="1:1" ht="18.75" customHeight="1" x14ac:dyDescent="0.15"/>
    <row r="91" spans="1:1" ht="18.75" customHeight="1" x14ac:dyDescent="0.15"/>
    <row r="92" spans="1:1" ht="18.75" customHeight="1" x14ac:dyDescent="0.15"/>
    <row r="93" spans="1:1" ht="18.75" customHeight="1" x14ac:dyDescent="0.15"/>
    <row r="94" spans="1:1" x14ac:dyDescent="0.15">
      <c r="A94" s="10"/>
    </row>
    <row r="95" spans="1:1" x14ac:dyDescent="0.15">
      <c r="A95" s="10"/>
    </row>
    <row r="96" spans="1:1" ht="16.5" customHeight="1" x14ac:dyDescent="0.15">
      <c r="A96" s="10"/>
    </row>
    <row r="97" spans="1:1" ht="16.5" customHeight="1" x14ac:dyDescent="0.15">
      <c r="A97" s="10"/>
    </row>
    <row r="98" spans="1:1" ht="16.5" customHeight="1" x14ac:dyDescent="0.15">
      <c r="A98" s="10"/>
    </row>
    <row r="99" spans="1:1" ht="16.5" customHeight="1" x14ac:dyDescent="0.15">
      <c r="A99" s="10"/>
    </row>
    <row r="100" spans="1:1" ht="16.5" customHeight="1" x14ac:dyDescent="0.15">
      <c r="A100" s="10"/>
    </row>
  </sheetData>
  <mergeCells count="72">
    <mergeCell ref="A58:F58"/>
    <mergeCell ref="G59:G60"/>
    <mergeCell ref="G61:G62"/>
    <mergeCell ref="G65:G66"/>
    <mergeCell ref="B3:B14"/>
    <mergeCell ref="C3:C4"/>
    <mergeCell ref="D3:D4"/>
    <mergeCell ref="C5:C6"/>
    <mergeCell ref="D5:D6"/>
    <mergeCell ref="C7:C8"/>
    <mergeCell ref="D7:D8"/>
    <mergeCell ref="C9:C10"/>
    <mergeCell ref="D9:D10"/>
    <mergeCell ref="D27:D28"/>
    <mergeCell ref="A15:A28"/>
    <mergeCell ref="G63:G64"/>
    <mergeCell ref="G67:G68"/>
    <mergeCell ref="C11:C12"/>
    <mergeCell ref="D11:D12"/>
    <mergeCell ref="C13:C14"/>
    <mergeCell ref="D13:D14"/>
    <mergeCell ref="C33:C34"/>
    <mergeCell ref="D33:D34"/>
    <mergeCell ref="C35:C36"/>
    <mergeCell ref="D35:D36"/>
    <mergeCell ref="C39:C40"/>
    <mergeCell ref="C19:C20"/>
    <mergeCell ref="D19:D20"/>
    <mergeCell ref="C25:C26"/>
    <mergeCell ref="D25:D26"/>
    <mergeCell ref="C27:C28"/>
    <mergeCell ref="D45:D46"/>
    <mergeCell ref="C47:C48"/>
    <mergeCell ref="D47:D48"/>
    <mergeCell ref="A29:A40"/>
    <mergeCell ref="B29:B40"/>
    <mergeCell ref="C29:C30"/>
    <mergeCell ref="D29:D30"/>
    <mergeCell ref="C31:C32"/>
    <mergeCell ref="D31:D32"/>
    <mergeCell ref="D39:D40"/>
    <mergeCell ref="C41:C42"/>
    <mergeCell ref="D41:D42"/>
    <mergeCell ref="C43:C44"/>
    <mergeCell ref="D43:D44"/>
    <mergeCell ref="C45:C46"/>
    <mergeCell ref="A41:A48"/>
    <mergeCell ref="B41:B48"/>
    <mergeCell ref="A49:A56"/>
    <mergeCell ref="B49:B56"/>
    <mergeCell ref="C49:C50"/>
    <mergeCell ref="D49:D50"/>
    <mergeCell ref="C51:C52"/>
    <mergeCell ref="C55:C56"/>
    <mergeCell ref="D55:D56"/>
    <mergeCell ref="D51:D52"/>
    <mergeCell ref="C53:C54"/>
    <mergeCell ref="D53:D54"/>
    <mergeCell ref="A1:D1"/>
    <mergeCell ref="E2:H2"/>
    <mergeCell ref="A3:A14"/>
    <mergeCell ref="C37:C38"/>
    <mergeCell ref="D37:D38"/>
    <mergeCell ref="B15:B28"/>
    <mergeCell ref="C15:C16"/>
    <mergeCell ref="D15:D16"/>
    <mergeCell ref="C17:C18"/>
    <mergeCell ref="D17:D18"/>
    <mergeCell ref="C23:C24"/>
    <mergeCell ref="D23:D24"/>
    <mergeCell ref="C21:C22"/>
    <mergeCell ref="D21:D22"/>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SubStructure_Form">
                <anchor moveWithCells="1" sizeWithCells="1">
                  <from>
                    <xdr:col>7</xdr:col>
                    <xdr:colOff>95250</xdr:colOff>
                    <xdr:row>0</xdr:row>
                    <xdr:rowOff>57150</xdr:rowOff>
                  </from>
                  <to>
                    <xdr:col>7</xdr:col>
                    <xdr:colOff>742950</xdr:colOff>
                    <xdr:row>0</xdr:row>
                    <xdr:rowOff>361950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003"/>
  <sheetViews>
    <sheetView topLeftCell="E1" workbookViewId="0">
      <selection activeCell="O15" sqref="O15"/>
    </sheetView>
  </sheetViews>
  <sheetFormatPr defaultRowHeight="13.5" x14ac:dyDescent="0.15"/>
  <cols>
    <col min="6" max="6" width="11.25" customWidth="1"/>
    <col min="7" max="7" width="11.875" customWidth="1"/>
    <col min="8" max="8" width="11.875" style="52" customWidth="1"/>
    <col min="9" max="9" width="19" style="52" customWidth="1"/>
    <col min="10" max="10" width="19" customWidth="1"/>
    <col min="11" max="11" width="16.25" customWidth="1"/>
  </cols>
  <sheetData>
    <row r="1" spans="3:18" x14ac:dyDescent="0.15">
      <c r="E1" s="15"/>
      <c r="F1" s="13"/>
      <c r="G1" s="13"/>
      <c r="H1" s="62"/>
      <c r="I1" s="75" t="s">
        <v>414</v>
      </c>
      <c r="J1" s="75"/>
      <c r="K1" s="75"/>
      <c r="L1" s="88"/>
      <c r="M1" s="117"/>
      <c r="P1" s="156" t="s">
        <v>415</v>
      </c>
      <c r="Q1" s="156"/>
      <c r="R1" s="13"/>
    </row>
    <row r="2" spans="3:18" ht="18" x14ac:dyDescent="0.15">
      <c r="F2" s="73" t="s">
        <v>407</v>
      </c>
      <c r="G2" s="73" t="s">
        <v>408</v>
      </c>
      <c r="H2" s="78" t="s">
        <v>409</v>
      </c>
      <c r="I2" s="79" t="s">
        <v>385</v>
      </c>
      <c r="J2" s="33" t="s">
        <v>386</v>
      </c>
      <c r="K2" s="33" t="s">
        <v>387</v>
      </c>
      <c r="L2" s="89" t="s">
        <v>410</v>
      </c>
      <c r="M2" s="118" t="s">
        <v>411</v>
      </c>
      <c r="O2" s="13"/>
      <c r="P2" s="13"/>
      <c r="Q2" s="13"/>
    </row>
    <row r="3" spans="3:18" x14ac:dyDescent="0.15">
      <c r="F3" s="153" t="s">
        <v>413</v>
      </c>
      <c r="G3" s="73" t="s">
        <v>222</v>
      </c>
      <c r="H3" s="25">
        <v>0</v>
      </c>
      <c r="I3" s="25">
        <v>0</v>
      </c>
      <c r="J3" s="96">
        <v>0.6</v>
      </c>
      <c r="K3" s="25">
        <f t="shared" ref="K3:K12" si="0">100-I3</f>
        <v>100</v>
      </c>
      <c r="L3" s="154">
        <f>J3*K3+J4*K4</f>
        <v>77.632000000000005</v>
      </c>
      <c r="M3" s="157">
        <f t="shared" ref="M3:M8" si="1">AVERAGE(L3:L8)</f>
        <v>79.543999999999997</v>
      </c>
      <c r="N3" s="80"/>
      <c r="O3" s="77">
        <f>MIN(L3:L8)</f>
        <v>77.632000000000005</v>
      </c>
      <c r="P3" s="13" t="str">
        <f>IF(O3&gt;=90,"完好",IF(O3&gt;=80,"良好",IF(O3&gt;=66,"合格",IF(O3&gt;=50,"不合格","危险"))))</f>
        <v>合格</v>
      </c>
      <c r="Q3" s="13" t="str">
        <f>IF(O3&gt;=90,"A",IF(O3&gt;=80,"B",IF(O3&gt;=66,"C",IF(O3&gt;=50,"D","E"))))</f>
        <v>C</v>
      </c>
    </row>
    <row r="4" spans="3:18" x14ac:dyDescent="0.15">
      <c r="F4" s="153"/>
      <c r="G4" s="73" t="s">
        <v>162</v>
      </c>
      <c r="H4" s="25">
        <v>75</v>
      </c>
      <c r="I4" s="25">
        <v>55.919999999999995</v>
      </c>
      <c r="J4" s="96">
        <v>0.4</v>
      </c>
      <c r="K4" s="25">
        <f t="shared" si="0"/>
        <v>44.080000000000005</v>
      </c>
      <c r="L4" s="155"/>
      <c r="M4" s="158"/>
      <c r="O4" s="13"/>
      <c r="P4" s="13"/>
      <c r="Q4" s="13"/>
    </row>
    <row r="5" spans="3:18" x14ac:dyDescent="0.15">
      <c r="F5" s="153" t="s">
        <v>450</v>
      </c>
      <c r="G5" s="118" t="s">
        <v>222</v>
      </c>
      <c r="H5" s="25">
        <v>20</v>
      </c>
      <c r="I5" s="25">
        <v>20</v>
      </c>
      <c r="J5" s="119">
        <v>0.6</v>
      </c>
      <c r="K5" s="25">
        <f t="shared" ref="K5:K8" si="2">100-I5</f>
        <v>80</v>
      </c>
      <c r="L5" s="154">
        <f>J5*K5+J6*K6</f>
        <v>82</v>
      </c>
      <c r="M5" s="158"/>
    </row>
    <row r="6" spans="3:18" x14ac:dyDescent="0.15">
      <c r="F6" s="153"/>
      <c r="G6" s="118" t="s">
        <v>162</v>
      </c>
      <c r="H6" s="25">
        <v>15</v>
      </c>
      <c r="I6" s="25">
        <v>15</v>
      </c>
      <c r="J6" s="119">
        <v>0.4</v>
      </c>
      <c r="K6" s="25">
        <f t="shared" si="2"/>
        <v>85</v>
      </c>
      <c r="L6" s="155"/>
      <c r="M6" s="158"/>
    </row>
    <row r="7" spans="3:18" x14ac:dyDescent="0.15">
      <c r="F7" s="153" t="s">
        <v>442</v>
      </c>
      <c r="G7" s="118" t="s">
        <v>222</v>
      </c>
      <c r="H7" s="25">
        <v>15</v>
      </c>
      <c r="I7" s="25">
        <v>15</v>
      </c>
      <c r="J7" s="119">
        <v>0.6</v>
      </c>
      <c r="K7" s="25">
        <f t="shared" si="2"/>
        <v>85</v>
      </c>
      <c r="L7" s="154">
        <f>J7*K7+J8*K8</f>
        <v>79</v>
      </c>
      <c r="M7" s="158"/>
    </row>
    <row r="8" spans="3:18" x14ac:dyDescent="0.15">
      <c r="F8" s="153"/>
      <c r="G8" s="118" t="s">
        <v>162</v>
      </c>
      <c r="H8" s="25">
        <v>30</v>
      </c>
      <c r="I8" s="25">
        <v>30</v>
      </c>
      <c r="J8" s="119">
        <v>0.4</v>
      </c>
      <c r="K8" s="25">
        <f t="shared" si="2"/>
        <v>70</v>
      </c>
      <c r="L8" s="155"/>
      <c r="M8" s="158"/>
      <c r="N8" s="13" t="str">
        <f>IF(M3&gt;=90,"完好",IF(M3&gt;=80,"良好",IF(M3&gt;=66,"合格",IF(M3&gt;=50,"不合格","危险"))))</f>
        <v>合格</v>
      </c>
      <c r="O8" s="13" t="str">
        <f>IF(M3&gt;=90,"A",IF(M3&gt;=80,"B",IF(M3&gt;=66,"C",IF(M3&gt;=50,"D","E"))))</f>
        <v>C</v>
      </c>
    </row>
    <row r="9" spans="3:18" x14ac:dyDescent="0.15">
      <c r="E9" s="13"/>
      <c r="H9"/>
      <c r="I9"/>
    </row>
    <row r="10" spans="3:18" x14ac:dyDescent="0.15">
      <c r="E10" s="13"/>
      <c r="H10"/>
      <c r="I10"/>
    </row>
    <row r="11" spans="3:18" x14ac:dyDescent="0.15">
      <c r="E11" s="13"/>
      <c r="H11"/>
      <c r="I11"/>
    </row>
    <row r="12" spans="3:18" ht="15" customHeight="1" x14ac:dyDescent="0.15">
      <c r="E12" s="13"/>
      <c r="H12"/>
      <c r="I12"/>
    </row>
    <row r="13" spans="3:18" x14ac:dyDescent="0.15">
      <c r="C13" s="26"/>
      <c r="D13" s="26"/>
      <c r="E13" s="26"/>
      <c r="H13"/>
      <c r="I13"/>
    </row>
    <row r="14" spans="3:18" ht="14.25" customHeight="1" x14ac:dyDescent="0.15">
      <c r="C14" s="26"/>
      <c r="D14" s="26"/>
      <c r="E14" s="26"/>
      <c r="H14"/>
      <c r="I14"/>
    </row>
    <row r="15" spans="3:18" x14ac:dyDescent="0.15">
      <c r="E15" s="13"/>
      <c r="H15"/>
      <c r="I15"/>
    </row>
    <row r="16" spans="3:18" ht="14.25" customHeight="1" x14ac:dyDescent="0.15">
      <c r="E16" s="13"/>
      <c r="H16"/>
      <c r="I16"/>
    </row>
    <row r="17" spans="1:9" x14ac:dyDescent="0.15">
      <c r="E17" s="13"/>
      <c r="H17"/>
      <c r="I17"/>
    </row>
    <row r="18" spans="1:9" ht="14.25" customHeight="1" x14ac:dyDescent="0.15">
      <c r="E18" s="13"/>
      <c r="H18"/>
      <c r="I18"/>
    </row>
    <row r="19" spans="1:9" x14ac:dyDescent="0.15">
      <c r="H19"/>
      <c r="I19"/>
    </row>
    <row r="20" spans="1:9" ht="14.25" customHeight="1" x14ac:dyDescent="0.15">
      <c r="H20"/>
      <c r="I20"/>
    </row>
    <row r="21" spans="1:9" ht="14.25" customHeight="1" x14ac:dyDescent="0.15">
      <c r="H21"/>
      <c r="I21"/>
    </row>
    <row r="22" spans="1:9" x14ac:dyDescent="0.15">
      <c r="H22"/>
      <c r="I22"/>
    </row>
    <row r="23" spans="1:9" x14ac:dyDescent="0.15">
      <c r="H23"/>
      <c r="I23"/>
    </row>
    <row r="24" spans="1:9" x14ac:dyDescent="0.15">
      <c r="H24"/>
      <c r="I24"/>
    </row>
    <row r="25" spans="1:9" x14ac:dyDescent="0.15">
      <c r="A25" s="74" t="s">
        <v>412</v>
      </c>
      <c r="B25" s="74"/>
      <c r="C25" s="74"/>
      <c r="D25" s="74"/>
      <c r="H25"/>
      <c r="I25"/>
    </row>
    <row r="26" spans="1:9" ht="24" x14ac:dyDescent="0.15">
      <c r="A26" s="73" t="s">
        <v>3</v>
      </c>
      <c r="B26" s="73" t="s">
        <v>220</v>
      </c>
      <c r="C26" s="73"/>
      <c r="D26" s="73" t="s">
        <v>301</v>
      </c>
      <c r="E26" s="106" t="s">
        <v>438</v>
      </c>
      <c r="H26"/>
      <c r="I26"/>
    </row>
    <row r="27" spans="1:9" x14ac:dyDescent="0.15">
      <c r="A27" s="73">
        <v>1</v>
      </c>
      <c r="B27" s="73" t="s">
        <v>221</v>
      </c>
      <c r="C27" s="73" t="s">
        <v>222</v>
      </c>
      <c r="D27" s="23">
        <v>0.6</v>
      </c>
      <c r="E27" s="87">
        <v>0.6</v>
      </c>
      <c r="H27"/>
      <c r="I27"/>
    </row>
    <row r="28" spans="1:9" x14ac:dyDescent="0.15">
      <c r="A28" s="73"/>
      <c r="B28" s="73"/>
      <c r="C28" s="73" t="s">
        <v>162</v>
      </c>
      <c r="D28" s="23">
        <v>0.4</v>
      </c>
      <c r="E28" s="87">
        <v>0.4</v>
      </c>
      <c r="H28"/>
      <c r="I28"/>
    </row>
    <row r="29" spans="1:9" x14ac:dyDescent="0.15">
      <c r="A29" s="73" t="s">
        <v>249</v>
      </c>
      <c r="B29" s="73"/>
      <c r="C29" s="73"/>
      <c r="D29" s="23"/>
      <c r="E29" s="107">
        <f>SUM(E27:E28)</f>
        <v>1</v>
      </c>
      <c r="H29"/>
      <c r="I29"/>
    </row>
    <row r="30" spans="1:9" x14ac:dyDescent="0.15">
      <c r="A30" s="73">
        <v>2</v>
      </c>
      <c r="B30" s="73" t="s">
        <v>227</v>
      </c>
      <c r="C30" s="73" t="s">
        <v>223</v>
      </c>
      <c r="D30" s="23">
        <v>0.6</v>
      </c>
      <c r="E30" s="87"/>
      <c r="H30"/>
      <c r="I30"/>
    </row>
    <row r="31" spans="1:9" x14ac:dyDescent="0.15">
      <c r="A31" s="73"/>
      <c r="B31" s="73"/>
      <c r="C31" s="73" t="s">
        <v>224</v>
      </c>
      <c r="D31" s="23">
        <v>0.2</v>
      </c>
      <c r="E31" s="87"/>
      <c r="H31"/>
      <c r="I31"/>
    </row>
    <row r="32" spans="1:9" x14ac:dyDescent="0.15">
      <c r="A32" s="73"/>
      <c r="B32" s="73"/>
      <c r="C32" s="73" t="s">
        <v>225</v>
      </c>
      <c r="D32" s="23">
        <v>0.1</v>
      </c>
      <c r="E32" s="87"/>
      <c r="H32"/>
      <c r="I32"/>
    </row>
    <row r="33" spans="1:9" x14ac:dyDescent="0.15">
      <c r="A33" s="73"/>
      <c r="B33" s="73"/>
      <c r="C33" s="73" t="s">
        <v>226</v>
      </c>
      <c r="D33" s="23">
        <v>0.1</v>
      </c>
      <c r="E33" s="87"/>
      <c r="H33"/>
      <c r="I33"/>
    </row>
    <row r="34" spans="1:9" x14ac:dyDescent="0.15">
      <c r="A34" s="89" t="s">
        <v>249</v>
      </c>
      <c r="B34" s="89"/>
      <c r="C34" s="89"/>
      <c r="D34" s="23"/>
      <c r="E34" s="23"/>
      <c r="H34"/>
      <c r="I34"/>
    </row>
    <row r="35" spans="1:9" x14ac:dyDescent="0.15">
      <c r="A35" s="73">
        <v>3</v>
      </c>
      <c r="B35" s="73" t="s">
        <v>228</v>
      </c>
      <c r="C35" s="73" t="s">
        <v>229</v>
      </c>
      <c r="D35" s="23">
        <v>0.5</v>
      </c>
      <c r="E35" s="87"/>
      <c r="H35"/>
      <c r="I35"/>
    </row>
    <row r="36" spans="1:9" x14ac:dyDescent="0.15">
      <c r="A36" s="73"/>
      <c r="B36" s="73"/>
      <c r="C36" s="73" t="s">
        <v>230</v>
      </c>
      <c r="D36" s="23">
        <v>0.1</v>
      </c>
      <c r="E36" s="87"/>
      <c r="H36"/>
      <c r="I36"/>
    </row>
    <row r="37" spans="1:9" x14ac:dyDescent="0.15">
      <c r="A37" s="73"/>
      <c r="B37" s="73"/>
      <c r="C37" s="73" t="s">
        <v>231</v>
      </c>
      <c r="D37" s="23">
        <v>0.2</v>
      </c>
      <c r="E37" s="87"/>
      <c r="H37"/>
      <c r="I37"/>
    </row>
    <row r="38" spans="1:9" x14ac:dyDescent="0.15">
      <c r="A38" s="73"/>
      <c r="B38" s="73"/>
      <c r="C38" s="73" t="s">
        <v>232</v>
      </c>
      <c r="D38" s="23">
        <v>0.1</v>
      </c>
      <c r="E38" s="87"/>
      <c r="H38"/>
      <c r="I38"/>
    </row>
    <row r="39" spans="1:9" x14ac:dyDescent="0.15">
      <c r="A39" s="73"/>
      <c r="B39" s="73"/>
      <c r="C39" s="73" t="s">
        <v>233</v>
      </c>
      <c r="D39" s="23">
        <v>0.1</v>
      </c>
      <c r="E39" s="87"/>
      <c r="H39"/>
      <c r="I39"/>
    </row>
    <row r="40" spans="1:9" x14ac:dyDescent="0.15">
      <c r="A40" s="89" t="s">
        <v>249</v>
      </c>
      <c r="B40" s="89"/>
      <c r="C40" s="89"/>
      <c r="D40" s="23"/>
      <c r="E40" s="23"/>
      <c r="H40"/>
      <c r="I40"/>
    </row>
    <row r="41" spans="1:9" x14ac:dyDescent="0.15">
      <c r="A41" s="73">
        <v>4</v>
      </c>
      <c r="B41" s="73" t="s">
        <v>234</v>
      </c>
      <c r="C41" s="73" t="s">
        <v>235</v>
      </c>
      <c r="D41" s="23">
        <v>0.7</v>
      </c>
      <c r="E41" s="87"/>
      <c r="H41"/>
      <c r="I41"/>
    </row>
    <row r="42" spans="1:9" x14ac:dyDescent="0.15">
      <c r="A42" s="73"/>
      <c r="B42" s="73"/>
      <c r="C42" s="73" t="s">
        <v>162</v>
      </c>
      <c r="D42" s="23">
        <v>0.3</v>
      </c>
      <c r="E42" s="87"/>
      <c r="H42"/>
      <c r="I42"/>
    </row>
    <row r="43" spans="1:9" x14ac:dyDescent="0.15">
      <c r="A43" s="89" t="s">
        <v>249</v>
      </c>
      <c r="B43" s="89"/>
      <c r="C43" s="89"/>
      <c r="D43" s="23"/>
      <c r="E43" s="23"/>
      <c r="H43"/>
      <c r="I43"/>
    </row>
    <row r="44" spans="1:9" x14ac:dyDescent="0.15">
      <c r="A44" s="73">
        <v>5</v>
      </c>
      <c r="B44" s="73" t="s">
        <v>236</v>
      </c>
      <c r="C44" s="73" t="s">
        <v>222</v>
      </c>
      <c r="D44" s="23">
        <v>0.8</v>
      </c>
      <c r="E44" s="87"/>
      <c r="H44"/>
      <c r="I44"/>
    </row>
    <row r="45" spans="1:9" x14ac:dyDescent="0.15">
      <c r="A45" s="73"/>
      <c r="B45" s="73"/>
      <c r="C45" s="73" t="s">
        <v>237</v>
      </c>
      <c r="D45" s="23">
        <v>0.2</v>
      </c>
      <c r="E45" s="87"/>
      <c r="H45"/>
      <c r="I45"/>
    </row>
    <row r="46" spans="1:9" x14ac:dyDescent="0.15">
      <c r="A46" s="89" t="s">
        <v>249</v>
      </c>
      <c r="B46" s="89"/>
      <c r="C46" s="89"/>
      <c r="D46" s="23"/>
      <c r="E46" s="23"/>
      <c r="H46"/>
      <c r="I46"/>
    </row>
    <row r="47" spans="1:9" x14ac:dyDescent="0.15">
      <c r="H47"/>
      <c r="I47"/>
    </row>
    <row r="48" spans="1:9" x14ac:dyDescent="0.15">
      <c r="H48"/>
      <c r="I48"/>
    </row>
    <row r="49" spans="8:9" x14ac:dyDescent="0.15">
      <c r="H49"/>
      <c r="I49"/>
    </row>
    <row r="50" spans="8:9" x14ac:dyDescent="0.15">
      <c r="H50"/>
      <c r="I50"/>
    </row>
    <row r="51" spans="8:9" x14ac:dyDescent="0.15">
      <c r="H51"/>
      <c r="I51"/>
    </row>
    <row r="52" spans="8:9" x14ac:dyDescent="0.15">
      <c r="H52"/>
      <c r="I52"/>
    </row>
    <row r="53" spans="8:9" x14ac:dyDescent="0.15">
      <c r="H53"/>
      <c r="I53"/>
    </row>
    <row r="54" spans="8:9" x14ac:dyDescent="0.15">
      <c r="H54"/>
      <c r="I54"/>
    </row>
    <row r="55" spans="8:9" x14ac:dyDescent="0.15">
      <c r="H55"/>
      <c r="I55"/>
    </row>
    <row r="56" spans="8:9" x14ac:dyDescent="0.15">
      <c r="H56"/>
      <c r="I56"/>
    </row>
    <row r="57" spans="8:9" x14ac:dyDescent="0.15">
      <c r="H57"/>
      <c r="I57"/>
    </row>
    <row r="58" spans="8:9" x14ac:dyDescent="0.15">
      <c r="H58"/>
      <c r="I58"/>
    </row>
    <row r="59" spans="8:9" x14ac:dyDescent="0.15">
      <c r="H59"/>
      <c r="I59"/>
    </row>
    <row r="60" spans="8:9" x14ac:dyDescent="0.15">
      <c r="H60"/>
      <c r="I60"/>
    </row>
    <row r="61" spans="8:9" x14ac:dyDescent="0.15">
      <c r="H61"/>
      <c r="I61"/>
    </row>
    <row r="62" spans="8:9" x14ac:dyDescent="0.15">
      <c r="H62"/>
      <c r="I62"/>
    </row>
    <row r="63" spans="8:9" x14ac:dyDescent="0.15">
      <c r="H63"/>
      <c r="I63"/>
    </row>
    <row r="64" spans="8:9" x14ac:dyDescent="0.15">
      <c r="H64"/>
      <c r="I64"/>
    </row>
    <row r="65" spans="8:9" x14ac:dyDescent="0.15">
      <c r="H65"/>
      <c r="I65"/>
    </row>
    <row r="66" spans="8:9" x14ac:dyDescent="0.15">
      <c r="H66"/>
      <c r="I66"/>
    </row>
    <row r="67" spans="8:9" x14ac:dyDescent="0.15">
      <c r="H67"/>
      <c r="I67"/>
    </row>
    <row r="68" spans="8:9" x14ac:dyDescent="0.15">
      <c r="H68"/>
      <c r="I68"/>
    </row>
    <row r="69" spans="8:9" x14ac:dyDescent="0.15">
      <c r="H69"/>
      <c r="I69"/>
    </row>
    <row r="70" spans="8:9" x14ac:dyDescent="0.15">
      <c r="H70"/>
      <c r="I70"/>
    </row>
    <row r="71" spans="8:9" x14ac:dyDescent="0.15">
      <c r="H71"/>
      <c r="I71"/>
    </row>
    <row r="72" spans="8:9" x14ac:dyDescent="0.15">
      <c r="H72"/>
      <c r="I72"/>
    </row>
    <row r="73" spans="8:9" x14ac:dyDescent="0.15">
      <c r="H73"/>
      <c r="I73"/>
    </row>
    <row r="74" spans="8:9" x14ac:dyDescent="0.15">
      <c r="H74"/>
      <c r="I74"/>
    </row>
    <row r="75" spans="8:9" x14ac:dyDescent="0.15">
      <c r="H75"/>
      <c r="I75"/>
    </row>
    <row r="76" spans="8:9" x14ac:dyDescent="0.15">
      <c r="H76"/>
      <c r="I76"/>
    </row>
    <row r="77" spans="8:9" x14ac:dyDescent="0.15">
      <c r="H77"/>
      <c r="I77"/>
    </row>
    <row r="78" spans="8:9" x14ac:dyDescent="0.15">
      <c r="H78"/>
      <c r="I78"/>
    </row>
    <row r="79" spans="8:9" x14ac:dyDescent="0.15">
      <c r="H79"/>
      <c r="I79"/>
    </row>
    <row r="80" spans="8:9" x14ac:dyDescent="0.15">
      <c r="H80"/>
      <c r="I80"/>
    </row>
    <row r="81" spans="8:9" x14ac:dyDescent="0.15">
      <c r="H81"/>
      <c r="I81"/>
    </row>
    <row r="82" spans="8:9" x14ac:dyDescent="0.15">
      <c r="H82"/>
      <c r="I82"/>
    </row>
    <row r="83" spans="8:9" x14ac:dyDescent="0.15">
      <c r="H83"/>
      <c r="I83"/>
    </row>
    <row r="84" spans="8:9" x14ac:dyDescent="0.15">
      <c r="H84"/>
      <c r="I84"/>
    </row>
    <row r="85" spans="8:9" x14ac:dyDescent="0.15">
      <c r="H85"/>
      <c r="I85"/>
    </row>
    <row r="86" spans="8:9" x14ac:dyDescent="0.15">
      <c r="H86"/>
      <c r="I86"/>
    </row>
    <row r="87" spans="8:9" x14ac:dyDescent="0.15">
      <c r="H87"/>
      <c r="I87"/>
    </row>
    <row r="88" spans="8:9" x14ac:dyDescent="0.15">
      <c r="H88"/>
      <c r="I88"/>
    </row>
    <row r="89" spans="8:9" x14ac:dyDescent="0.15">
      <c r="H89"/>
      <c r="I89"/>
    </row>
    <row r="90" spans="8:9" x14ac:dyDescent="0.15">
      <c r="H90"/>
      <c r="I90"/>
    </row>
    <row r="91" spans="8:9" x14ac:dyDescent="0.15">
      <c r="H91"/>
      <c r="I91"/>
    </row>
    <row r="92" spans="8:9" x14ac:dyDescent="0.15">
      <c r="H92"/>
      <c r="I92"/>
    </row>
    <row r="93" spans="8:9" x14ac:dyDescent="0.15">
      <c r="H93"/>
      <c r="I93"/>
    </row>
    <row r="94" spans="8:9" x14ac:dyDescent="0.15">
      <c r="H94"/>
      <c r="I94"/>
    </row>
    <row r="95" spans="8:9" x14ac:dyDescent="0.15">
      <c r="H95"/>
      <c r="I95"/>
    </row>
    <row r="96" spans="8:9" x14ac:dyDescent="0.15">
      <c r="H96"/>
      <c r="I96"/>
    </row>
    <row r="97" spans="8:9" x14ac:dyDescent="0.15">
      <c r="H97"/>
      <c r="I97"/>
    </row>
    <row r="98" spans="8:9" x14ac:dyDescent="0.15">
      <c r="H98"/>
      <c r="I98"/>
    </row>
    <row r="99" spans="8:9" x14ac:dyDescent="0.15">
      <c r="H99"/>
      <c r="I99"/>
    </row>
    <row r="100" spans="8:9" x14ac:dyDescent="0.15">
      <c r="H100"/>
      <c r="I100"/>
    </row>
    <row r="101" spans="8:9" x14ac:dyDescent="0.15">
      <c r="H101"/>
      <c r="I101"/>
    </row>
    <row r="102" spans="8:9" x14ac:dyDescent="0.15">
      <c r="H102"/>
      <c r="I102"/>
    </row>
    <row r="103" spans="8:9" x14ac:dyDescent="0.15">
      <c r="H103"/>
      <c r="I103"/>
    </row>
    <row r="104" spans="8:9" x14ac:dyDescent="0.15">
      <c r="H104"/>
      <c r="I104"/>
    </row>
    <row r="105" spans="8:9" x14ac:dyDescent="0.15">
      <c r="H105"/>
      <c r="I105"/>
    </row>
    <row r="106" spans="8:9" x14ac:dyDescent="0.15">
      <c r="H106"/>
      <c r="I106"/>
    </row>
    <row r="107" spans="8:9" x14ac:dyDescent="0.15">
      <c r="H107"/>
      <c r="I107"/>
    </row>
    <row r="108" spans="8:9" x14ac:dyDescent="0.15">
      <c r="H108"/>
      <c r="I108"/>
    </row>
    <row r="109" spans="8:9" x14ac:dyDescent="0.15">
      <c r="H109"/>
      <c r="I109"/>
    </row>
    <row r="110" spans="8:9" x14ac:dyDescent="0.15">
      <c r="H110"/>
      <c r="I110"/>
    </row>
    <row r="111" spans="8:9" x14ac:dyDescent="0.15">
      <c r="H111"/>
      <c r="I111"/>
    </row>
    <row r="112" spans="8:9" x14ac:dyDescent="0.15">
      <c r="H112"/>
      <c r="I112"/>
    </row>
    <row r="113" spans="8:9" x14ac:dyDescent="0.15">
      <c r="H113"/>
      <c r="I113"/>
    </row>
    <row r="114" spans="8:9" x14ac:dyDescent="0.15">
      <c r="H114"/>
      <c r="I114"/>
    </row>
    <row r="115" spans="8:9" x14ac:dyDescent="0.15">
      <c r="H115"/>
      <c r="I115"/>
    </row>
    <row r="116" spans="8:9" x14ac:dyDescent="0.15">
      <c r="H116"/>
      <c r="I116"/>
    </row>
    <row r="117" spans="8:9" x14ac:dyDescent="0.15">
      <c r="H117"/>
      <c r="I117"/>
    </row>
    <row r="118" spans="8:9" x14ac:dyDescent="0.15">
      <c r="H118"/>
      <c r="I118"/>
    </row>
    <row r="119" spans="8:9" x14ac:dyDescent="0.15">
      <c r="H119"/>
      <c r="I119"/>
    </row>
    <row r="120" spans="8:9" x14ac:dyDescent="0.15">
      <c r="H120"/>
      <c r="I120"/>
    </row>
    <row r="121" spans="8:9" x14ac:dyDescent="0.15">
      <c r="H121"/>
      <c r="I121"/>
    </row>
    <row r="122" spans="8:9" x14ac:dyDescent="0.15">
      <c r="H122"/>
      <c r="I122"/>
    </row>
    <row r="123" spans="8:9" x14ac:dyDescent="0.15">
      <c r="H123"/>
      <c r="I123"/>
    </row>
    <row r="124" spans="8:9" x14ac:dyDescent="0.15">
      <c r="H124"/>
      <c r="I124"/>
    </row>
    <row r="125" spans="8:9" x14ac:dyDescent="0.15">
      <c r="H125"/>
      <c r="I125"/>
    </row>
    <row r="126" spans="8:9" x14ac:dyDescent="0.15">
      <c r="H126"/>
      <c r="I126"/>
    </row>
    <row r="127" spans="8:9" x14ac:dyDescent="0.15">
      <c r="H127"/>
      <c r="I127"/>
    </row>
    <row r="128" spans="8:9" x14ac:dyDescent="0.15">
      <c r="H128"/>
      <c r="I128"/>
    </row>
    <row r="129" spans="8:9" x14ac:dyDescent="0.15">
      <c r="H129"/>
      <c r="I129"/>
    </row>
    <row r="130" spans="8:9" x14ac:dyDescent="0.15">
      <c r="H130"/>
      <c r="I130"/>
    </row>
    <row r="131" spans="8:9" x14ac:dyDescent="0.15">
      <c r="H131"/>
      <c r="I131"/>
    </row>
    <row r="132" spans="8:9" x14ac:dyDescent="0.15">
      <c r="H132"/>
      <c r="I132"/>
    </row>
    <row r="133" spans="8:9" x14ac:dyDescent="0.15">
      <c r="H133"/>
      <c r="I133"/>
    </row>
    <row r="134" spans="8:9" x14ac:dyDescent="0.15">
      <c r="H134"/>
      <c r="I134"/>
    </row>
    <row r="135" spans="8:9" x14ac:dyDescent="0.15">
      <c r="H135"/>
      <c r="I135"/>
    </row>
    <row r="136" spans="8:9" x14ac:dyDescent="0.15">
      <c r="H136"/>
      <c r="I136"/>
    </row>
    <row r="137" spans="8:9" x14ac:dyDescent="0.15">
      <c r="H137"/>
      <c r="I137"/>
    </row>
    <row r="138" spans="8:9" x14ac:dyDescent="0.15">
      <c r="H138"/>
      <c r="I138"/>
    </row>
    <row r="139" spans="8:9" x14ac:dyDescent="0.15">
      <c r="H139"/>
      <c r="I139"/>
    </row>
    <row r="140" spans="8:9" x14ac:dyDescent="0.15">
      <c r="H140"/>
      <c r="I140"/>
    </row>
    <row r="141" spans="8:9" x14ac:dyDescent="0.15">
      <c r="H141"/>
      <c r="I141"/>
    </row>
    <row r="142" spans="8:9" x14ac:dyDescent="0.15">
      <c r="H142"/>
      <c r="I142"/>
    </row>
    <row r="143" spans="8:9" x14ac:dyDescent="0.15">
      <c r="H143"/>
      <c r="I143"/>
    </row>
    <row r="144" spans="8:9" x14ac:dyDescent="0.15">
      <c r="H144"/>
      <c r="I144"/>
    </row>
    <row r="145" spans="8:9" x14ac:dyDescent="0.15">
      <c r="H145"/>
      <c r="I145"/>
    </row>
    <row r="146" spans="8:9" x14ac:dyDescent="0.15">
      <c r="H146"/>
      <c r="I146"/>
    </row>
    <row r="147" spans="8:9" x14ac:dyDescent="0.15">
      <c r="H147"/>
      <c r="I147"/>
    </row>
    <row r="148" spans="8:9" x14ac:dyDescent="0.15">
      <c r="H148"/>
      <c r="I148"/>
    </row>
    <row r="149" spans="8:9" x14ac:dyDescent="0.15">
      <c r="H149"/>
      <c r="I149"/>
    </row>
    <row r="150" spans="8:9" x14ac:dyDescent="0.15">
      <c r="H150"/>
      <c r="I150"/>
    </row>
    <row r="151" spans="8:9" x14ac:dyDescent="0.15">
      <c r="H151"/>
      <c r="I151"/>
    </row>
    <row r="152" spans="8:9" x14ac:dyDescent="0.15">
      <c r="H152"/>
      <c r="I152"/>
    </row>
    <row r="153" spans="8:9" x14ac:dyDescent="0.15">
      <c r="H153"/>
      <c r="I153"/>
    </row>
    <row r="154" spans="8:9" x14ac:dyDescent="0.15">
      <c r="H154"/>
      <c r="I154"/>
    </row>
    <row r="155" spans="8:9" x14ac:dyDescent="0.15">
      <c r="H155"/>
      <c r="I155"/>
    </row>
    <row r="156" spans="8:9" x14ac:dyDescent="0.15">
      <c r="H156"/>
      <c r="I156"/>
    </row>
    <row r="157" spans="8:9" x14ac:dyDescent="0.15">
      <c r="H157"/>
      <c r="I157"/>
    </row>
    <row r="158" spans="8:9" x14ac:dyDescent="0.15">
      <c r="H158"/>
      <c r="I158"/>
    </row>
    <row r="159" spans="8:9" x14ac:dyDescent="0.15">
      <c r="H159"/>
      <c r="I159"/>
    </row>
    <row r="160" spans="8:9" x14ac:dyDescent="0.15">
      <c r="H160"/>
      <c r="I160"/>
    </row>
    <row r="161" spans="8:9" x14ac:dyDescent="0.15">
      <c r="H161"/>
      <c r="I161"/>
    </row>
    <row r="162" spans="8:9" x14ac:dyDescent="0.15">
      <c r="H162"/>
      <c r="I162"/>
    </row>
    <row r="163" spans="8:9" x14ac:dyDescent="0.15">
      <c r="H163"/>
      <c r="I163"/>
    </row>
    <row r="164" spans="8:9" x14ac:dyDescent="0.15">
      <c r="H164"/>
      <c r="I164"/>
    </row>
    <row r="165" spans="8:9" x14ac:dyDescent="0.15">
      <c r="H165"/>
      <c r="I165"/>
    </row>
    <row r="166" spans="8:9" x14ac:dyDescent="0.15">
      <c r="H166"/>
      <c r="I166"/>
    </row>
    <row r="167" spans="8:9" x14ac:dyDescent="0.15">
      <c r="H167"/>
      <c r="I167"/>
    </row>
    <row r="168" spans="8:9" x14ac:dyDescent="0.15">
      <c r="H168"/>
      <c r="I168"/>
    </row>
    <row r="169" spans="8:9" x14ac:dyDescent="0.15">
      <c r="H169"/>
      <c r="I169"/>
    </row>
    <row r="170" spans="8:9" x14ac:dyDescent="0.15">
      <c r="H170"/>
      <c r="I170"/>
    </row>
    <row r="171" spans="8:9" x14ac:dyDescent="0.15">
      <c r="H171"/>
      <c r="I171"/>
    </row>
    <row r="172" spans="8:9" x14ac:dyDescent="0.15">
      <c r="H172"/>
      <c r="I172"/>
    </row>
    <row r="173" spans="8:9" x14ac:dyDescent="0.15">
      <c r="H173"/>
      <c r="I173"/>
    </row>
    <row r="174" spans="8:9" x14ac:dyDescent="0.15">
      <c r="H174"/>
      <c r="I174"/>
    </row>
    <row r="175" spans="8:9" x14ac:dyDescent="0.15">
      <c r="H175"/>
      <c r="I175"/>
    </row>
    <row r="176" spans="8:9" x14ac:dyDescent="0.15">
      <c r="H176"/>
      <c r="I176"/>
    </row>
    <row r="177" spans="8:9" x14ac:dyDescent="0.15">
      <c r="H177"/>
      <c r="I177"/>
    </row>
    <row r="178" spans="8:9" x14ac:dyDescent="0.15">
      <c r="H178"/>
      <c r="I178"/>
    </row>
    <row r="179" spans="8:9" x14ac:dyDescent="0.15">
      <c r="H179"/>
      <c r="I179"/>
    </row>
    <row r="180" spans="8:9" x14ac:dyDescent="0.15">
      <c r="H180"/>
      <c r="I180"/>
    </row>
    <row r="181" spans="8:9" x14ac:dyDescent="0.15">
      <c r="H181"/>
      <c r="I181"/>
    </row>
    <row r="182" spans="8:9" x14ac:dyDescent="0.15">
      <c r="H182"/>
      <c r="I182"/>
    </row>
    <row r="183" spans="8:9" x14ac:dyDescent="0.15">
      <c r="H183"/>
      <c r="I183"/>
    </row>
    <row r="184" spans="8:9" x14ac:dyDescent="0.15">
      <c r="H184"/>
      <c r="I184"/>
    </row>
    <row r="185" spans="8:9" x14ac:dyDescent="0.15">
      <c r="H185"/>
      <c r="I185"/>
    </row>
    <row r="186" spans="8:9" x14ac:dyDescent="0.15">
      <c r="H186"/>
      <c r="I186"/>
    </row>
    <row r="187" spans="8:9" x14ac:dyDescent="0.15">
      <c r="H187"/>
      <c r="I187"/>
    </row>
    <row r="188" spans="8:9" x14ac:dyDescent="0.15">
      <c r="H188"/>
      <c r="I188"/>
    </row>
    <row r="189" spans="8:9" x14ac:dyDescent="0.15">
      <c r="H189"/>
      <c r="I189"/>
    </row>
    <row r="190" spans="8:9" x14ac:dyDescent="0.15">
      <c r="H190"/>
      <c r="I190"/>
    </row>
    <row r="191" spans="8:9" x14ac:dyDescent="0.15">
      <c r="H191"/>
      <c r="I191"/>
    </row>
    <row r="192" spans="8:9" x14ac:dyDescent="0.15">
      <c r="H192"/>
      <c r="I192"/>
    </row>
    <row r="193" spans="8:9" x14ac:dyDescent="0.15">
      <c r="H193"/>
      <c r="I193"/>
    </row>
    <row r="194" spans="8:9" x14ac:dyDescent="0.15">
      <c r="H194"/>
      <c r="I194"/>
    </row>
    <row r="195" spans="8:9" x14ac:dyDescent="0.15">
      <c r="H195"/>
      <c r="I195"/>
    </row>
    <row r="196" spans="8:9" x14ac:dyDescent="0.15">
      <c r="H196"/>
      <c r="I196"/>
    </row>
    <row r="197" spans="8:9" x14ac:dyDescent="0.15">
      <c r="H197"/>
      <c r="I197"/>
    </row>
    <row r="198" spans="8:9" x14ac:dyDescent="0.15">
      <c r="H198"/>
      <c r="I198"/>
    </row>
    <row r="199" spans="8:9" x14ac:dyDescent="0.15">
      <c r="H199"/>
      <c r="I199"/>
    </row>
    <row r="200" spans="8:9" x14ac:dyDescent="0.15">
      <c r="H200"/>
      <c r="I200"/>
    </row>
    <row r="201" spans="8:9" x14ac:dyDescent="0.15">
      <c r="H201"/>
      <c r="I201"/>
    </row>
    <row r="202" spans="8:9" x14ac:dyDescent="0.15">
      <c r="H202"/>
      <c r="I202"/>
    </row>
    <row r="203" spans="8:9" x14ac:dyDescent="0.15">
      <c r="H203"/>
      <c r="I203"/>
    </row>
    <row r="204" spans="8:9" x14ac:dyDescent="0.15">
      <c r="H204"/>
      <c r="I204"/>
    </row>
    <row r="205" spans="8:9" x14ac:dyDescent="0.15">
      <c r="H205"/>
      <c r="I205"/>
    </row>
    <row r="206" spans="8:9" x14ac:dyDescent="0.15">
      <c r="H206"/>
      <c r="I206"/>
    </row>
    <row r="207" spans="8:9" x14ac:dyDescent="0.15">
      <c r="H207"/>
      <c r="I207"/>
    </row>
    <row r="208" spans="8:9" x14ac:dyDescent="0.15">
      <c r="H208"/>
      <c r="I208"/>
    </row>
    <row r="209" spans="8:9" x14ac:dyDescent="0.15">
      <c r="H209"/>
      <c r="I209"/>
    </row>
    <row r="210" spans="8:9" x14ac:dyDescent="0.15">
      <c r="H210"/>
      <c r="I210"/>
    </row>
    <row r="211" spans="8:9" x14ac:dyDescent="0.15">
      <c r="H211"/>
      <c r="I211"/>
    </row>
    <row r="212" spans="8:9" x14ac:dyDescent="0.15">
      <c r="H212"/>
      <c r="I212"/>
    </row>
    <row r="213" spans="8:9" x14ac:dyDescent="0.15">
      <c r="H213"/>
      <c r="I213"/>
    </row>
    <row r="214" spans="8:9" x14ac:dyDescent="0.15">
      <c r="H214"/>
      <c r="I214"/>
    </row>
    <row r="215" spans="8:9" x14ac:dyDescent="0.15">
      <c r="H215"/>
      <c r="I215"/>
    </row>
    <row r="216" spans="8:9" x14ac:dyDescent="0.15">
      <c r="H216"/>
      <c r="I216"/>
    </row>
    <row r="217" spans="8:9" x14ac:dyDescent="0.15">
      <c r="H217"/>
      <c r="I217"/>
    </row>
    <row r="218" spans="8:9" x14ac:dyDescent="0.15">
      <c r="H218"/>
      <c r="I218"/>
    </row>
    <row r="219" spans="8:9" x14ac:dyDescent="0.15">
      <c r="H219"/>
      <c r="I219"/>
    </row>
    <row r="220" spans="8:9" x14ac:dyDescent="0.15">
      <c r="H220"/>
      <c r="I220"/>
    </row>
    <row r="221" spans="8:9" x14ac:dyDescent="0.15">
      <c r="H221"/>
      <c r="I221"/>
    </row>
    <row r="222" spans="8:9" x14ac:dyDescent="0.15">
      <c r="H222"/>
      <c r="I222"/>
    </row>
    <row r="223" spans="8:9" x14ac:dyDescent="0.15">
      <c r="H223"/>
      <c r="I223"/>
    </row>
    <row r="224" spans="8:9" x14ac:dyDescent="0.15">
      <c r="H224"/>
      <c r="I224"/>
    </row>
    <row r="225" spans="8:9" x14ac:dyDescent="0.15">
      <c r="H225"/>
      <c r="I225"/>
    </row>
    <row r="226" spans="8:9" x14ac:dyDescent="0.15">
      <c r="H226"/>
      <c r="I226"/>
    </row>
    <row r="227" spans="8:9" x14ac:dyDescent="0.15">
      <c r="H227"/>
      <c r="I227"/>
    </row>
    <row r="228" spans="8:9" x14ac:dyDescent="0.15">
      <c r="H228"/>
      <c r="I228"/>
    </row>
    <row r="229" spans="8:9" x14ac:dyDescent="0.15">
      <c r="H229"/>
      <c r="I229"/>
    </row>
    <row r="230" spans="8:9" x14ac:dyDescent="0.15">
      <c r="H230"/>
      <c r="I230"/>
    </row>
    <row r="231" spans="8:9" x14ac:dyDescent="0.15">
      <c r="H231"/>
      <c r="I231"/>
    </row>
    <row r="232" spans="8:9" x14ac:dyDescent="0.15">
      <c r="H232"/>
      <c r="I232"/>
    </row>
    <row r="233" spans="8:9" x14ac:dyDescent="0.15">
      <c r="H233"/>
      <c r="I233"/>
    </row>
    <row r="234" spans="8:9" x14ac:dyDescent="0.15">
      <c r="H234"/>
      <c r="I234"/>
    </row>
    <row r="235" spans="8:9" x14ac:dyDescent="0.15">
      <c r="H235"/>
      <c r="I235"/>
    </row>
    <row r="236" spans="8:9" x14ac:dyDescent="0.15">
      <c r="H236"/>
      <c r="I236"/>
    </row>
    <row r="237" spans="8:9" x14ac:dyDescent="0.15">
      <c r="H237"/>
      <c r="I237"/>
    </row>
    <row r="238" spans="8:9" x14ac:dyDescent="0.15">
      <c r="H238"/>
      <c r="I238"/>
    </row>
    <row r="239" spans="8:9" x14ac:dyDescent="0.15">
      <c r="H239"/>
      <c r="I239"/>
    </row>
    <row r="240" spans="8:9" x14ac:dyDescent="0.15">
      <c r="H240"/>
      <c r="I240"/>
    </row>
    <row r="241" spans="8:9" x14ac:dyDescent="0.15">
      <c r="H241"/>
      <c r="I241"/>
    </row>
    <row r="242" spans="8:9" x14ac:dyDescent="0.15">
      <c r="H242"/>
      <c r="I242"/>
    </row>
    <row r="243" spans="8:9" x14ac:dyDescent="0.15">
      <c r="H243"/>
      <c r="I243"/>
    </row>
    <row r="244" spans="8:9" x14ac:dyDescent="0.15">
      <c r="H244"/>
      <c r="I244"/>
    </row>
    <row r="245" spans="8:9" x14ac:dyDescent="0.15">
      <c r="H245"/>
      <c r="I245"/>
    </row>
    <row r="246" spans="8:9" x14ac:dyDescent="0.15">
      <c r="H246"/>
      <c r="I246"/>
    </row>
    <row r="247" spans="8:9" x14ac:dyDescent="0.15">
      <c r="H247"/>
      <c r="I247"/>
    </row>
    <row r="248" spans="8:9" x14ac:dyDescent="0.15">
      <c r="H248"/>
      <c r="I248"/>
    </row>
    <row r="249" spans="8:9" x14ac:dyDescent="0.15">
      <c r="H249"/>
      <c r="I249"/>
    </row>
    <row r="250" spans="8:9" x14ac:dyDescent="0.15">
      <c r="H250"/>
      <c r="I250"/>
    </row>
    <row r="251" spans="8:9" x14ac:dyDescent="0.15">
      <c r="H251"/>
      <c r="I251"/>
    </row>
    <row r="252" spans="8:9" x14ac:dyDescent="0.15">
      <c r="H252"/>
      <c r="I252"/>
    </row>
    <row r="253" spans="8:9" x14ac:dyDescent="0.15">
      <c r="H253"/>
      <c r="I253"/>
    </row>
    <row r="254" spans="8:9" x14ac:dyDescent="0.15">
      <c r="H254"/>
      <c r="I254"/>
    </row>
    <row r="255" spans="8:9" x14ac:dyDescent="0.15">
      <c r="H255"/>
      <c r="I255"/>
    </row>
    <row r="256" spans="8:9" x14ac:dyDescent="0.15">
      <c r="H256"/>
      <c r="I256"/>
    </row>
    <row r="257" spans="8:9" x14ac:dyDescent="0.15">
      <c r="H257"/>
      <c r="I257"/>
    </row>
    <row r="258" spans="8:9" x14ac:dyDescent="0.15">
      <c r="H258"/>
      <c r="I258"/>
    </row>
    <row r="259" spans="8:9" x14ac:dyDescent="0.15">
      <c r="H259"/>
      <c r="I259"/>
    </row>
    <row r="260" spans="8:9" x14ac:dyDescent="0.15">
      <c r="H260"/>
      <c r="I260"/>
    </row>
    <row r="261" spans="8:9" x14ac:dyDescent="0.15">
      <c r="H261"/>
      <c r="I261"/>
    </row>
    <row r="262" spans="8:9" x14ac:dyDescent="0.15">
      <c r="H262"/>
      <c r="I262"/>
    </row>
    <row r="263" spans="8:9" x14ac:dyDescent="0.15">
      <c r="H263"/>
      <c r="I263"/>
    </row>
    <row r="264" spans="8:9" x14ac:dyDescent="0.15">
      <c r="H264"/>
      <c r="I264"/>
    </row>
    <row r="265" spans="8:9" x14ac:dyDescent="0.15">
      <c r="H265"/>
      <c r="I265"/>
    </row>
    <row r="266" spans="8:9" x14ac:dyDescent="0.15">
      <c r="H266"/>
      <c r="I266"/>
    </row>
    <row r="267" spans="8:9" x14ac:dyDescent="0.15">
      <c r="H267"/>
      <c r="I267"/>
    </row>
    <row r="268" spans="8:9" x14ac:dyDescent="0.15">
      <c r="H268"/>
      <c r="I268"/>
    </row>
    <row r="269" spans="8:9" x14ac:dyDescent="0.15">
      <c r="H269"/>
      <c r="I269"/>
    </row>
    <row r="270" spans="8:9" x14ac:dyDescent="0.15">
      <c r="H270"/>
      <c r="I270"/>
    </row>
    <row r="271" spans="8:9" x14ac:dyDescent="0.15">
      <c r="H271"/>
      <c r="I271"/>
    </row>
    <row r="272" spans="8:9" x14ac:dyDescent="0.15">
      <c r="H272"/>
      <c r="I272"/>
    </row>
    <row r="273" spans="8:9" x14ac:dyDescent="0.15">
      <c r="H273"/>
      <c r="I273"/>
    </row>
    <row r="274" spans="8:9" x14ac:dyDescent="0.15">
      <c r="H274"/>
      <c r="I274"/>
    </row>
    <row r="275" spans="8:9" x14ac:dyDescent="0.15">
      <c r="H275"/>
      <c r="I275"/>
    </row>
    <row r="276" spans="8:9" x14ac:dyDescent="0.15">
      <c r="H276"/>
      <c r="I276"/>
    </row>
    <row r="277" spans="8:9" x14ac:dyDescent="0.15">
      <c r="H277"/>
      <c r="I277"/>
    </row>
    <row r="278" spans="8:9" x14ac:dyDescent="0.15">
      <c r="H278"/>
      <c r="I278"/>
    </row>
    <row r="279" spans="8:9" x14ac:dyDescent="0.15">
      <c r="H279"/>
      <c r="I279"/>
    </row>
    <row r="280" spans="8:9" x14ac:dyDescent="0.15">
      <c r="H280"/>
      <c r="I280"/>
    </row>
    <row r="281" spans="8:9" x14ac:dyDescent="0.15">
      <c r="H281"/>
      <c r="I281"/>
    </row>
    <row r="282" spans="8:9" x14ac:dyDescent="0.15">
      <c r="H282"/>
      <c r="I282"/>
    </row>
    <row r="283" spans="8:9" x14ac:dyDescent="0.15">
      <c r="H283"/>
      <c r="I283"/>
    </row>
    <row r="284" spans="8:9" x14ac:dyDescent="0.15">
      <c r="H284"/>
      <c r="I284"/>
    </row>
    <row r="285" spans="8:9" x14ac:dyDescent="0.15">
      <c r="H285"/>
      <c r="I285"/>
    </row>
    <row r="286" spans="8:9" x14ac:dyDescent="0.15">
      <c r="H286"/>
      <c r="I286"/>
    </row>
    <row r="287" spans="8:9" x14ac:dyDescent="0.15">
      <c r="H287"/>
      <c r="I287"/>
    </row>
    <row r="288" spans="8:9" x14ac:dyDescent="0.15">
      <c r="H288"/>
      <c r="I288"/>
    </row>
    <row r="289" spans="8:9" x14ac:dyDescent="0.15">
      <c r="H289"/>
      <c r="I289"/>
    </row>
    <row r="290" spans="8:9" x14ac:dyDescent="0.15">
      <c r="H290"/>
      <c r="I290"/>
    </row>
    <row r="291" spans="8:9" x14ac:dyDescent="0.15">
      <c r="H291"/>
      <c r="I291"/>
    </row>
    <row r="292" spans="8:9" x14ac:dyDescent="0.15">
      <c r="H292"/>
      <c r="I292"/>
    </row>
    <row r="293" spans="8:9" x14ac:dyDescent="0.15">
      <c r="H293"/>
      <c r="I293"/>
    </row>
    <row r="294" spans="8:9" x14ac:dyDescent="0.15">
      <c r="H294"/>
      <c r="I294"/>
    </row>
    <row r="295" spans="8:9" x14ac:dyDescent="0.15">
      <c r="H295"/>
      <c r="I295"/>
    </row>
    <row r="296" spans="8:9" x14ac:dyDescent="0.15">
      <c r="H296"/>
      <c r="I296"/>
    </row>
    <row r="297" spans="8:9" x14ac:dyDescent="0.15">
      <c r="H297"/>
      <c r="I297"/>
    </row>
    <row r="298" spans="8:9" x14ac:dyDescent="0.15">
      <c r="H298"/>
      <c r="I298"/>
    </row>
    <row r="299" spans="8:9" x14ac:dyDescent="0.15">
      <c r="H299"/>
      <c r="I299"/>
    </row>
    <row r="300" spans="8:9" x14ac:dyDescent="0.15">
      <c r="H300"/>
      <c r="I300"/>
    </row>
    <row r="301" spans="8:9" x14ac:dyDescent="0.15">
      <c r="H301"/>
      <c r="I301"/>
    </row>
    <row r="302" spans="8:9" x14ac:dyDescent="0.15">
      <c r="H302"/>
      <c r="I302"/>
    </row>
    <row r="303" spans="8:9" x14ac:dyDescent="0.15">
      <c r="H303"/>
      <c r="I303"/>
    </row>
    <row r="304" spans="8:9" x14ac:dyDescent="0.15">
      <c r="H304"/>
      <c r="I304"/>
    </row>
    <row r="305" spans="8:9" x14ac:dyDescent="0.15">
      <c r="H305"/>
      <c r="I305"/>
    </row>
    <row r="306" spans="8:9" x14ac:dyDescent="0.15">
      <c r="H306"/>
      <c r="I306"/>
    </row>
    <row r="307" spans="8:9" x14ac:dyDescent="0.15">
      <c r="H307"/>
      <c r="I307"/>
    </row>
    <row r="308" spans="8:9" x14ac:dyDescent="0.15">
      <c r="H308"/>
      <c r="I308"/>
    </row>
    <row r="309" spans="8:9" x14ac:dyDescent="0.15">
      <c r="H309"/>
      <c r="I309"/>
    </row>
    <row r="310" spans="8:9" x14ac:dyDescent="0.15">
      <c r="H310"/>
      <c r="I310"/>
    </row>
    <row r="311" spans="8:9" x14ac:dyDescent="0.15">
      <c r="H311"/>
      <c r="I311"/>
    </row>
    <row r="312" spans="8:9" x14ac:dyDescent="0.15">
      <c r="H312"/>
      <c r="I312"/>
    </row>
    <row r="313" spans="8:9" x14ac:dyDescent="0.15">
      <c r="H313"/>
      <c r="I313"/>
    </row>
    <row r="314" spans="8:9" x14ac:dyDescent="0.15">
      <c r="H314"/>
      <c r="I314"/>
    </row>
    <row r="315" spans="8:9" x14ac:dyDescent="0.15">
      <c r="H315"/>
      <c r="I315"/>
    </row>
    <row r="316" spans="8:9" x14ac:dyDescent="0.15">
      <c r="H316"/>
      <c r="I316"/>
    </row>
    <row r="317" spans="8:9" x14ac:dyDescent="0.15">
      <c r="H317"/>
      <c r="I317"/>
    </row>
    <row r="318" spans="8:9" x14ac:dyDescent="0.15">
      <c r="H318"/>
      <c r="I318"/>
    </row>
    <row r="319" spans="8:9" x14ac:dyDescent="0.15">
      <c r="H319"/>
      <c r="I319"/>
    </row>
    <row r="320" spans="8:9" x14ac:dyDescent="0.15">
      <c r="H320"/>
      <c r="I320"/>
    </row>
    <row r="321" spans="8:9" x14ac:dyDescent="0.15">
      <c r="H321"/>
      <c r="I321"/>
    </row>
    <row r="322" spans="8:9" x14ac:dyDescent="0.15">
      <c r="H322"/>
      <c r="I322"/>
    </row>
    <row r="323" spans="8:9" x14ac:dyDescent="0.15">
      <c r="H323"/>
      <c r="I323"/>
    </row>
    <row r="324" spans="8:9" x14ac:dyDescent="0.15">
      <c r="H324"/>
      <c r="I324"/>
    </row>
    <row r="325" spans="8:9" x14ac:dyDescent="0.15">
      <c r="H325"/>
      <c r="I325"/>
    </row>
    <row r="326" spans="8:9" x14ac:dyDescent="0.15">
      <c r="H326"/>
      <c r="I326"/>
    </row>
    <row r="327" spans="8:9" x14ac:dyDescent="0.15">
      <c r="H327"/>
      <c r="I327"/>
    </row>
    <row r="328" spans="8:9" x14ac:dyDescent="0.15">
      <c r="H328"/>
      <c r="I328"/>
    </row>
    <row r="329" spans="8:9" x14ac:dyDescent="0.15">
      <c r="H329"/>
      <c r="I329"/>
    </row>
    <row r="330" spans="8:9" x14ac:dyDescent="0.15">
      <c r="H330"/>
      <c r="I330"/>
    </row>
    <row r="331" spans="8:9" x14ac:dyDescent="0.15">
      <c r="H331"/>
      <c r="I331"/>
    </row>
    <row r="332" spans="8:9" x14ac:dyDescent="0.15">
      <c r="H332"/>
      <c r="I332"/>
    </row>
    <row r="333" spans="8:9" x14ac:dyDescent="0.15">
      <c r="H333"/>
      <c r="I333"/>
    </row>
    <row r="334" spans="8:9" x14ac:dyDescent="0.15">
      <c r="H334"/>
      <c r="I334"/>
    </row>
    <row r="335" spans="8:9" x14ac:dyDescent="0.15">
      <c r="H335"/>
      <c r="I335"/>
    </row>
    <row r="336" spans="8:9" x14ac:dyDescent="0.15">
      <c r="H336"/>
      <c r="I336"/>
    </row>
    <row r="337" spans="8:9" x14ac:dyDescent="0.15">
      <c r="H337"/>
      <c r="I337"/>
    </row>
    <row r="338" spans="8:9" x14ac:dyDescent="0.15">
      <c r="H338"/>
      <c r="I338"/>
    </row>
    <row r="339" spans="8:9" x14ac:dyDescent="0.15">
      <c r="H339"/>
      <c r="I339"/>
    </row>
    <row r="340" spans="8:9" x14ac:dyDescent="0.15">
      <c r="H340"/>
      <c r="I340"/>
    </row>
    <row r="341" spans="8:9" x14ac:dyDescent="0.15">
      <c r="H341"/>
      <c r="I341"/>
    </row>
    <row r="342" spans="8:9" x14ac:dyDescent="0.15">
      <c r="H342"/>
      <c r="I342"/>
    </row>
    <row r="343" spans="8:9" x14ac:dyDescent="0.15">
      <c r="H343"/>
      <c r="I343"/>
    </row>
    <row r="344" spans="8:9" x14ac:dyDescent="0.15">
      <c r="H344"/>
      <c r="I344"/>
    </row>
    <row r="345" spans="8:9" x14ac:dyDescent="0.15">
      <c r="H345"/>
      <c r="I345"/>
    </row>
    <row r="346" spans="8:9" x14ac:dyDescent="0.15">
      <c r="H346"/>
      <c r="I346"/>
    </row>
    <row r="347" spans="8:9" x14ac:dyDescent="0.15">
      <c r="H347"/>
      <c r="I347"/>
    </row>
    <row r="348" spans="8:9" x14ac:dyDescent="0.15">
      <c r="H348"/>
      <c r="I348"/>
    </row>
    <row r="349" spans="8:9" x14ac:dyDescent="0.15">
      <c r="H349"/>
      <c r="I349"/>
    </row>
    <row r="350" spans="8:9" x14ac:dyDescent="0.15">
      <c r="H350"/>
      <c r="I350"/>
    </row>
    <row r="351" spans="8:9" x14ac:dyDescent="0.15">
      <c r="H351"/>
      <c r="I351"/>
    </row>
    <row r="352" spans="8:9" x14ac:dyDescent="0.15">
      <c r="H352"/>
      <c r="I352"/>
    </row>
    <row r="353" spans="8:9" x14ac:dyDescent="0.15">
      <c r="H353"/>
      <c r="I353"/>
    </row>
    <row r="354" spans="8:9" x14ac:dyDescent="0.15">
      <c r="H354"/>
      <c r="I354"/>
    </row>
    <row r="355" spans="8:9" x14ac:dyDescent="0.15">
      <c r="H355"/>
      <c r="I355"/>
    </row>
    <row r="356" spans="8:9" x14ac:dyDescent="0.15">
      <c r="H356"/>
      <c r="I356"/>
    </row>
    <row r="357" spans="8:9" x14ac:dyDescent="0.15">
      <c r="H357"/>
      <c r="I357"/>
    </row>
    <row r="358" spans="8:9" x14ac:dyDescent="0.15">
      <c r="H358"/>
      <c r="I358"/>
    </row>
    <row r="359" spans="8:9" x14ac:dyDescent="0.15">
      <c r="H359"/>
      <c r="I359"/>
    </row>
    <row r="360" spans="8:9" x14ac:dyDescent="0.15">
      <c r="H360"/>
      <c r="I360"/>
    </row>
    <row r="361" spans="8:9" x14ac:dyDescent="0.15">
      <c r="H361"/>
      <c r="I361"/>
    </row>
    <row r="362" spans="8:9" x14ac:dyDescent="0.15">
      <c r="H362"/>
      <c r="I362"/>
    </row>
    <row r="363" spans="8:9" x14ac:dyDescent="0.15">
      <c r="H363"/>
      <c r="I363"/>
    </row>
    <row r="364" spans="8:9" x14ac:dyDescent="0.15">
      <c r="H364"/>
      <c r="I364"/>
    </row>
    <row r="365" spans="8:9" x14ac:dyDescent="0.15">
      <c r="H365"/>
      <c r="I365"/>
    </row>
    <row r="366" spans="8:9" x14ac:dyDescent="0.15">
      <c r="H366"/>
      <c r="I366"/>
    </row>
    <row r="367" spans="8:9" x14ac:dyDescent="0.15">
      <c r="H367"/>
      <c r="I367"/>
    </row>
    <row r="368" spans="8:9" x14ac:dyDescent="0.15">
      <c r="H368"/>
      <c r="I368"/>
    </row>
    <row r="369" spans="8:9" x14ac:dyDescent="0.15">
      <c r="H369"/>
      <c r="I369"/>
    </row>
    <row r="370" spans="8:9" x14ac:dyDescent="0.15">
      <c r="H370"/>
      <c r="I370"/>
    </row>
    <row r="371" spans="8:9" x14ac:dyDescent="0.15">
      <c r="H371"/>
      <c r="I371"/>
    </row>
    <row r="372" spans="8:9" x14ac:dyDescent="0.15">
      <c r="H372"/>
      <c r="I372"/>
    </row>
    <row r="373" spans="8:9" x14ac:dyDescent="0.15">
      <c r="H373"/>
      <c r="I373"/>
    </row>
    <row r="374" spans="8:9" x14ac:dyDescent="0.15">
      <c r="H374"/>
      <c r="I374"/>
    </row>
    <row r="375" spans="8:9" x14ac:dyDescent="0.15">
      <c r="H375"/>
      <c r="I375"/>
    </row>
    <row r="376" spans="8:9" x14ac:dyDescent="0.15">
      <c r="H376"/>
      <c r="I376"/>
    </row>
    <row r="377" spans="8:9" x14ac:dyDescent="0.15">
      <c r="H377"/>
      <c r="I377"/>
    </row>
    <row r="378" spans="8:9" x14ac:dyDescent="0.15">
      <c r="H378"/>
      <c r="I378"/>
    </row>
    <row r="379" spans="8:9" x14ac:dyDescent="0.15">
      <c r="H379"/>
      <c r="I379"/>
    </row>
    <row r="380" spans="8:9" x14ac:dyDescent="0.15">
      <c r="H380"/>
      <c r="I380"/>
    </row>
    <row r="381" spans="8:9" x14ac:dyDescent="0.15">
      <c r="H381"/>
      <c r="I381"/>
    </row>
    <row r="382" spans="8:9" x14ac:dyDescent="0.15">
      <c r="H382"/>
      <c r="I382"/>
    </row>
    <row r="383" spans="8:9" x14ac:dyDescent="0.15">
      <c r="H383"/>
      <c r="I383"/>
    </row>
    <row r="384" spans="8:9" x14ac:dyDescent="0.15">
      <c r="H384"/>
      <c r="I384"/>
    </row>
    <row r="385" spans="8:9" x14ac:dyDescent="0.15">
      <c r="H385"/>
      <c r="I385"/>
    </row>
    <row r="386" spans="8:9" x14ac:dyDescent="0.15">
      <c r="H386"/>
      <c r="I386"/>
    </row>
    <row r="387" spans="8:9" x14ac:dyDescent="0.15">
      <c r="H387"/>
      <c r="I387"/>
    </row>
    <row r="388" spans="8:9" x14ac:dyDescent="0.15">
      <c r="H388"/>
      <c r="I388"/>
    </row>
    <row r="389" spans="8:9" x14ac:dyDescent="0.15">
      <c r="H389"/>
      <c r="I389"/>
    </row>
    <row r="390" spans="8:9" x14ac:dyDescent="0.15">
      <c r="H390"/>
      <c r="I390"/>
    </row>
    <row r="391" spans="8:9" x14ac:dyDescent="0.15">
      <c r="H391"/>
      <c r="I391"/>
    </row>
    <row r="392" spans="8:9" x14ac:dyDescent="0.15">
      <c r="H392"/>
      <c r="I392"/>
    </row>
    <row r="393" spans="8:9" x14ac:dyDescent="0.15">
      <c r="H393"/>
      <c r="I393"/>
    </row>
    <row r="394" spans="8:9" x14ac:dyDescent="0.15">
      <c r="H394"/>
      <c r="I394"/>
    </row>
    <row r="395" spans="8:9" x14ac:dyDescent="0.15">
      <c r="H395"/>
      <c r="I395"/>
    </row>
    <row r="396" spans="8:9" x14ac:dyDescent="0.15">
      <c r="H396"/>
      <c r="I396"/>
    </row>
    <row r="397" spans="8:9" x14ac:dyDescent="0.15">
      <c r="H397"/>
      <c r="I397"/>
    </row>
    <row r="398" spans="8:9" x14ac:dyDescent="0.15">
      <c r="H398"/>
      <c r="I398"/>
    </row>
    <row r="399" spans="8:9" x14ac:dyDescent="0.15">
      <c r="H399"/>
      <c r="I399"/>
    </row>
    <row r="400" spans="8:9" x14ac:dyDescent="0.15">
      <c r="H400"/>
      <c r="I400"/>
    </row>
    <row r="401" spans="8:9" x14ac:dyDescent="0.15">
      <c r="H401"/>
      <c r="I401"/>
    </row>
    <row r="402" spans="8:9" x14ac:dyDescent="0.15">
      <c r="H402"/>
      <c r="I402"/>
    </row>
    <row r="403" spans="8:9" x14ac:dyDescent="0.15">
      <c r="H403"/>
      <c r="I403"/>
    </row>
    <row r="404" spans="8:9" x14ac:dyDescent="0.15">
      <c r="H404"/>
      <c r="I404"/>
    </row>
    <row r="405" spans="8:9" x14ac:dyDescent="0.15">
      <c r="H405"/>
      <c r="I405"/>
    </row>
    <row r="406" spans="8:9" x14ac:dyDescent="0.15">
      <c r="H406"/>
      <c r="I406"/>
    </row>
    <row r="407" spans="8:9" x14ac:dyDescent="0.15">
      <c r="H407"/>
      <c r="I407"/>
    </row>
    <row r="408" spans="8:9" x14ac:dyDescent="0.15">
      <c r="H408"/>
      <c r="I408"/>
    </row>
    <row r="409" spans="8:9" x14ac:dyDescent="0.15">
      <c r="H409"/>
      <c r="I409"/>
    </row>
    <row r="410" spans="8:9" x14ac:dyDescent="0.15">
      <c r="H410"/>
      <c r="I410"/>
    </row>
    <row r="411" spans="8:9" x14ac:dyDescent="0.15">
      <c r="H411"/>
      <c r="I411"/>
    </row>
    <row r="412" spans="8:9" x14ac:dyDescent="0.15">
      <c r="H412"/>
      <c r="I412"/>
    </row>
    <row r="413" spans="8:9" x14ac:dyDescent="0.15">
      <c r="H413"/>
      <c r="I413"/>
    </row>
    <row r="414" spans="8:9" x14ac:dyDescent="0.15">
      <c r="H414"/>
      <c r="I414"/>
    </row>
    <row r="415" spans="8:9" x14ac:dyDescent="0.15">
      <c r="H415"/>
      <c r="I415"/>
    </row>
    <row r="416" spans="8:9" x14ac:dyDescent="0.15">
      <c r="H416"/>
      <c r="I416"/>
    </row>
    <row r="417" spans="8:9" x14ac:dyDescent="0.15">
      <c r="H417"/>
      <c r="I417"/>
    </row>
    <row r="418" spans="8:9" x14ac:dyDescent="0.15">
      <c r="H418"/>
      <c r="I418"/>
    </row>
    <row r="419" spans="8:9" x14ac:dyDescent="0.15">
      <c r="H419"/>
      <c r="I419"/>
    </row>
    <row r="420" spans="8:9" x14ac:dyDescent="0.15">
      <c r="H420"/>
      <c r="I420"/>
    </row>
    <row r="421" spans="8:9" x14ac:dyDescent="0.15">
      <c r="H421"/>
      <c r="I421"/>
    </row>
    <row r="422" spans="8:9" x14ac:dyDescent="0.15">
      <c r="H422"/>
      <c r="I422"/>
    </row>
    <row r="423" spans="8:9" x14ac:dyDescent="0.15">
      <c r="H423"/>
      <c r="I423"/>
    </row>
    <row r="424" spans="8:9" x14ac:dyDescent="0.15">
      <c r="H424"/>
      <c r="I424"/>
    </row>
    <row r="425" spans="8:9" x14ac:dyDescent="0.15">
      <c r="H425"/>
      <c r="I425"/>
    </row>
    <row r="426" spans="8:9" x14ac:dyDescent="0.15">
      <c r="H426"/>
      <c r="I426"/>
    </row>
    <row r="427" spans="8:9" x14ac:dyDescent="0.15">
      <c r="H427"/>
      <c r="I427"/>
    </row>
    <row r="428" spans="8:9" x14ac:dyDescent="0.15">
      <c r="H428"/>
      <c r="I428"/>
    </row>
    <row r="429" spans="8:9" x14ac:dyDescent="0.15">
      <c r="H429"/>
      <c r="I429"/>
    </row>
    <row r="430" spans="8:9" x14ac:dyDescent="0.15">
      <c r="H430"/>
      <c r="I430"/>
    </row>
    <row r="431" spans="8:9" x14ac:dyDescent="0.15">
      <c r="H431"/>
      <c r="I431"/>
    </row>
    <row r="432" spans="8:9" x14ac:dyDescent="0.15">
      <c r="H432"/>
      <c r="I432"/>
    </row>
    <row r="433" spans="8:9" x14ac:dyDescent="0.15">
      <c r="H433"/>
      <c r="I433"/>
    </row>
    <row r="434" spans="8:9" x14ac:dyDescent="0.15">
      <c r="H434"/>
      <c r="I434"/>
    </row>
    <row r="435" spans="8:9" x14ac:dyDescent="0.15">
      <c r="H435"/>
      <c r="I435"/>
    </row>
    <row r="436" spans="8:9" x14ac:dyDescent="0.15">
      <c r="H436"/>
      <c r="I436"/>
    </row>
    <row r="437" spans="8:9" x14ac:dyDescent="0.15">
      <c r="H437"/>
      <c r="I437"/>
    </row>
    <row r="438" spans="8:9" x14ac:dyDescent="0.15">
      <c r="H438"/>
      <c r="I438"/>
    </row>
    <row r="439" spans="8:9" x14ac:dyDescent="0.15">
      <c r="H439"/>
      <c r="I439"/>
    </row>
    <row r="440" spans="8:9" x14ac:dyDescent="0.15">
      <c r="H440"/>
      <c r="I440"/>
    </row>
    <row r="441" spans="8:9" x14ac:dyDescent="0.15">
      <c r="H441"/>
      <c r="I441"/>
    </row>
    <row r="442" spans="8:9" x14ac:dyDescent="0.15">
      <c r="H442"/>
      <c r="I442"/>
    </row>
    <row r="443" spans="8:9" x14ac:dyDescent="0.15">
      <c r="H443"/>
      <c r="I443"/>
    </row>
    <row r="444" spans="8:9" x14ac:dyDescent="0.15">
      <c r="H444"/>
      <c r="I444"/>
    </row>
    <row r="445" spans="8:9" x14ac:dyDescent="0.15">
      <c r="H445"/>
      <c r="I445"/>
    </row>
    <row r="446" spans="8:9" x14ac:dyDescent="0.15">
      <c r="H446"/>
      <c r="I446"/>
    </row>
    <row r="447" spans="8:9" x14ac:dyDescent="0.15">
      <c r="H447"/>
      <c r="I447"/>
    </row>
    <row r="448" spans="8:9" x14ac:dyDescent="0.15">
      <c r="H448"/>
      <c r="I448"/>
    </row>
    <row r="449" spans="8:9" x14ac:dyDescent="0.15">
      <c r="H449"/>
      <c r="I449"/>
    </row>
    <row r="450" spans="8:9" x14ac:dyDescent="0.15">
      <c r="H450"/>
      <c r="I450"/>
    </row>
    <row r="451" spans="8:9" x14ac:dyDescent="0.15">
      <c r="H451"/>
      <c r="I451"/>
    </row>
    <row r="452" spans="8:9" x14ac:dyDescent="0.15">
      <c r="H452"/>
      <c r="I452"/>
    </row>
    <row r="453" spans="8:9" x14ac:dyDescent="0.15">
      <c r="H453"/>
      <c r="I453"/>
    </row>
    <row r="454" spans="8:9" x14ac:dyDescent="0.15">
      <c r="H454"/>
      <c r="I454"/>
    </row>
    <row r="455" spans="8:9" x14ac:dyDescent="0.15">
      <c r="H455"/>
      <c r="I455"/>
    </row>
    <row r="456" spans="8:9" x14ac:dyDescent="0.15">
      <c r="H456"/>
      <c r="I456"/>
    </row>
    <row r="457" spans="8:9" x14ac:dyDescent="0.15">
      <c r="H457"/>
      <c r="I457"/>
    </row>
    <row r="458" spans="8:9" x14ac:dyDescent="0.15">
      <c r="H458"/>
      <c r="I458"/>
    </row>
    <row r="459" spans="8:9" x14ac:dyDescent="0.15">
      <c r="H459"/>
      <c r="I459"/>
    </row>
    <row r="460" spans="8:9" x14ac:dyDescent="0.15">
      <c r="H460"/>
      <c r="I460"/>
    </row>
    <row r="461" spans="8:9" x14ac:dyDescent="0.15">
      <c r="H461"/>
      <c r="I461"/>
    </row>
    <row r="462" spans="8:9" x14ac:dyDescent="0.15">
      <c r="H462"/>
      <c r="I462"/>
    </row>
    <row r="463" spans="8:9" x14ac:dyDescent="0.15">
      <c r="H463"/>
      <c r="I463"/>
    </row>
    <row r="464" spans="8:9" x14ac:dyDescent="0.15">
      <c r="H464"/>
      <c r="I464"/>
    </row>
    <row r="465" spans="8:9" x14ac:dyDescent="0.15">
      <c r="H465"/>
      <c r="I465"/>
    </row>
    <row r="466" spans="8:9" x14ac:dyDescent="0.15">
      <c r="H466"/>
      <c r="I466"/>
    </row>
    <row r="467" spans="8:9" x14ac:dyDescent="0.15">
      <c r="H467"/>
      <c r="I467"/>
    </row>
    <row r="468" spans="8:9" x14ac:dyDescent="0.15">
      <c r="H468"/>
      <c r="I468"/>
    </row>
    <row r="469" spans="8:9" x14ac:dyDescent="0.15">
      <c r="H469"/>
      <c r="I469"/>
    </row>
    <row r="470" spans="8:9" x14ac:dyDescent="0.15">
      <c r="H470"/>
      <c r="I470"/>
    </row>
    <row r="471" spans="8:9" x14ac:dyDescent="0.15">
      <c r="H471"/>
      <c r="I471"/>
    </row>
    <row r="472" spans="8:9" x14ac:dyDescent="0.15">
      <c r="H472"/>
      <c r="I472"/>
    </row>
    <row r="473" spans="8:9" x14ac:dyDescent="0.15">
      <c r="H473"/>
      <c r="I473"/>
    </row>
    <row r="474" spans="8:9" x14ac:dyDescent="0.15">
      <c r="H474"/>
      <c r="I474"/>
    </row>
    <row r="475" spans="8:9" x14ac:dyDescent="0.15">
      <c r="H475"/>
      <c r="I475"/>
    </row>
    <row r="476" spans="8:9" x14ac:dyDescent="0.15">
      <c r="H476"/>
      <c r="I476"/>
    </row>
    <row r="477" spans="8:9" x14ac:dyDescent="0.15">
      <c r="H477"/>
      <c r="I477"/>
    </row>
    <row r="478" spans="8:9" x14ac:dyDescent="0.15">
      <c r="H478"/>
      <c r="I478"/>
    </row>
    <row r="479" spans="8:9" x14ac:dyDescent="0.15">
      <c r="H479"/>
      <c r="I479"/>
    </row>
    <row r="480" spans="8:9" x14ac:dyDescent="0.15">
      <c r="H480"/>
      <c r="I480"/>
    </row>
    <row r="481" spans="8:9" x14ac:dyDescent="0.15">
      <c r="H481"/>
      <c r="I481"/>
    </row>
    <row r="482" spans="8:9" x14ac:dyDescent="0.15">
      <c r="H482"/>
      <c r="I482"/>
    </row>
    <row r="483" spans="8:9" x14ac:dyDescent="0.15">
      <c r="H483"/>
      <c r="I483"/>
    </row>
    <row r="484" spans="8:9" x14ac:dyDescent="0.15">
      <c r="H484"/>
      <c r="I484"/>
    </row>
    <row r="485" spans="8:9" x14ac:dyDescent="0.15">
      <c r="H485"/>
      <c r="I485"/>
    </row>
    <row r="486" spans="8:9" x14ac:dyDescent="0.15">
      <c r="H486"/>
      <c r="I486"/>
    </row>
    <row r="487" spans="8:9" x14ac:dyDescent="0.15">
      <c r="H487"/>
      <c r="I487"/>
    </row>
    <row r="488" spans="8:9" x14ac:dyDescent="0.15">
      <c r="H488"/>
      <c r="I488"/>
    </row>
    <row r="489" spans="8:9" x14ac:dyDescent="0.15">
      <c r="H489"/>
      <c r="I489"/>
    </row>
    <row r="490" spans="8:9" x14ac:dyDescent="0.15">
      <c r="H490"/>
      <c r="I490"/>
    </row>
    <row r="491" spans="8:9" x14ac:dyDescent="0.15">
      <c r="H491"/>
      <c r="I491"/>
    </row>
    <row r="492" spans="8:9" x14ac:dyDescent="0.15">
      <c r="H492"/>
      <c r="I492"/>
    </row>
    <row r="493" spans="8:9" x14ac:dyDescent="0.15">
      <c r="H493"/>
      <c r="I493"/>
    </row>
    <row r="494" spans="8:9" x14ac:dyDescent="0.15">
      <c r="H494"/>
      <c r="I494"/>
    </row>
    <row r="495" spans="8:9" x14ac:dyDescent="0.15">
      <c r="H495"/>
      <c r="I495"/>
    </row>
    <row r="496" spans="8:9" x14ac:dyDescent="0.15">
      <c r="H496"/>
      <c r="I496"/>
    </row>
    <row r="497" spans="8:9" x14ac:dyDescent="0.15">
      <c r="H497"/>
      <c r="I497"/>
    </row>
    <row r="498" spans="8:9" x14ac:dyDescent="0.15">
      <c r="H498"/>
      <c r="I498"/>
    </row>
    <row r="499" spans="8:9" x14ac:dyDescent="0.15">
      <c r="H499"/>
      <c r="I499"/>
    </row>
    <row r="500" spans="8:9" x14ac:dyDescent="0.15">
      <c r="H500"/>
      <c r="I500"/>
    </row>
    <row r="501" spans="8:9" x14ac:dyDescent="0.15">
      <c r="H501"/>
      <c r="I501"/>
    </row>
    <row r="502" spans="8:9" x14ac:dyDescent="0.15">
      <c r="H502"/>
      <c r="I502"/>
    </row>
    <row r="503" spans="8:9" x14ac:dyDescent="0.15">
      <c r="H503"/>
      <c r="I503"/>
    </row>
    <row r="504" spans="8:9" x14ac:dyDescent="0.15">
      <c r="H504"/>
      <c r="I504"/>
    </row>
    <row r="505" spans="8:9" x14ac:dyDescent="0.15">
      <c r="H505"/>
      <c r="I505"/>
    </row>
    <row r="506" spans="8:9" x14ac:dyDescent="0.15">
      <c r="H506"/>
      <c r="I506"/>
    </row>
    <row r="507" spans="8:9" x14ac:dyDescent="0.15">
      <c r="H507"/>
      <c r="I507"/>
    </row>
    <row r="508" spans="8:9" x14ac:dyDescent="0.15">
      <c r="H508"/>
      <c r="I508"/>
    </row>
    <row r="509" spans="8:9" x14ac:dyDescent="0.15">
      <c r="H509"/>
      <c r="I509"/>
    </row>
    <row r="510" spans="8:9" x14ac:dyDescent="0.15">
      <c r="H510"/>
      <c r="I510"/>
    </row>
    <row r="511" spans="8:9" x14ac:dyDescent="0.15">
      <c r="H511"/>
      <c r="I511"/>
    </row>
    <row r="512" spans="8:9" x14ac:dyDescent="0.15">
      <c r="H512"/>
      <c r="I512"/>
    </row>
    <row r="513" spans="8:9" x14ac:dyDescent="0.15">
      <c r="H513"/>
      <c r="I513"/>
    </row>
    <row r="514" spans="8:9" x14ac:dyDescent="0.15">
      <c r="H514"/>
      <c r="I514"/>
    </row>
    <row r="515" spans="8:9" x14ac:dyDescent="0.15">
      <c r="H515"/>
      <c r="I515"/>
    </row>
    <row r="516" spans="8:9" x14ac:dyDescent="0.15">
      <c r="H516"/>
      <c r="I516"/>
    </row>
    <row r="517" spans="8:9" x14ac:dyDescent="0.15">
      <c r="H517"/>
      <c r="I517"/>
    </row>
    <row r="518" spans="8:9" x14ac:dyDescent="0.15">
      <c r="H518"/>
      <c r="I518"/>
    </row>
    <row r="519" spans="8:9" x14ac:dyDescent="0.15">
      <c r="H519"/>
      <c r="I519"/>
    </row>
    <row r="520" spans="8:9" x14ac:dyDescent="0.15">
      <c r="H520"/>
      <c r="I520"/>
    </row>
    <row r="521" spans="8:9" x14ac:dyDescent="0.15">
      <c r="H521"/>
      <c r="I521"/>
    </row>
    <row r="522" spans="8:9" x14ac:dyDescent="0.15">
      <c r="H522"/>
      <c r="I522"/>
    </row>
    <row r="523" spans="8:9" x14ac:dyDescent="0.15">
      <c r="H523"/>
      <c r="I523"/>
    </row>
    <row r="524" spans="8:9" x14ac:dyDescent="0.15">
      <c r="H524"/>
      <c r="I524"/>
    </row>
    <row r="525" spans="8:9" x14ac:dyDescent="0.15">
      <c r="H525"/>
      <c r="I525"/>
    </row>
    <row r="526" spans="8:9" x14ac:dyDescent="0.15">
      <c r="H526"/>
      <c r="I526"/>
    </row>
    <row r="527" spans="8:9" x14ac:dyDescent="0.15">
      <c r="H527"/>
      <c r="I527"/>
    </row>
    <row r="528" spans="8:9" x14ac:dyDescent="0.15">
      <c r="H528"/>
      <c r="I528"/>
    </row>
    <row r="529" spans="8:9" x14ac:dyDescent="0.15">
      <c r="H529"/>
      <c r="I529"/>
    </row>
    <row r="530" spans="8:9" x14ac:dyDescent="0.15">
      <c r="H530"/>
      <c r="I530"/>
    </row>
    <row r="531" spans="8:9" x14ac:dyDescent="0.15">
      <c r="H531"/>
      <c r="I531"/>
    </row>
    <row r="532" spans="8:9" x14ac:dyDescent="0.15">
      <c r="H532"/>
      <c r="I532"/>
    </row>
    <row r="533" spans="8:9" x14ac:dyDescent="0.15">
      <c r="H533"/>
      <c r="I533"/>
    </row>
    <row r="534" spans="8:9" x14ac:dyDescent="0.15">
      <c r="H534"/>
      <c r="I534"/>
    </row>
    <row r="535" spans="8:9" x14ac:dyDescent="0.15">
      <c r="H535"/>
      <c r="I535"/>
    </row>
    <row r="536" spans="8:9" x14ac:dyDescent="0.15">
      <c r="H536"/>
      <c r="I536"/>
    </row>
    <row r="537" spans="8:9" x14ac:dyDescent="0.15">
      <c r="H537"/>
      <c r="I537"/>
    </row>
    <row r="538" spans="8:9" x14ac:dyDescent="0.15">
      <c r="H538"/>
      <c r="I538"/>
    </row>
    <row r="539" spans="8:9" x14ac:dyDescent="0.15">
      <c r="H539"/>
      <c r="I539"/>
    </row>
    <row r="540" spans="8:9" x14ac:dyDescent="0.15">
      <c r="H540"/>
      <c r="I540"/>
    </row>
    <row r="541" spans="8:9" x14ac:dyDescent="0.15">
      <c r="H541"/>
      <c r="I541"/>
    </row>
    <row r="542" spans="8:9" x14ac:dyDescent="0.15">
      <c r="H542"/>
      <c r="I542"/>
    </row>
    <row r="543" spans="8:9" x14ac:dyDescent="0.15">
      <c r="H543"/>
      <c r="I543"/>
    </row>
    <row r="544" spans="8:9" x14ac:dyDescent="0.15">
      <c r="H544"/>
      <c r="I544"/>
    </row>
    <row r="545" spans="8:9" x14ac:dyDescent="0.15">
      <c r="H545"/>
      <c r="I545"/>
    </row>
    <row r="546" spans="8:9" x14ac:dyDescent="0.15">
      <c r="H546"/>
      <c r="I546"/>
    </row>
    <row r="547" spans="8:9" x14ac:dyDescent="0.15">
      <c r="H547"/>
      <c r="I547"/>
    </row>
    <row r="548" spans="8:9" x14ac:dyDescent="0.15">
      <c r="H548"/>
      <c r="I548"/>
    </row>
    <row r="549" spans="8:9" x14ac:dyDescent="0.15">
      <c r="H549"/>
      <c r="I549"/>
    </row>
    <row r="550" spans="8:9" x14ac:dyDescent="0.15">
      <c r="H550"/>
      <c r="I550"/>
    </row>
    <row r="551" spans="8:9" x14ac:dyDescent="0.15">
      <c r="H551"/>
      <c r="I551"/>
    </row>
    <row r="552" spans="8:9" x14ac:dyDescent="0.15">
      <c r="H552"/>
      <c r="I552"/>
    </row>
    <row r="553" spans="8:9" x14ac:dyDescent="0.15">
      <c r="H553"/>
      <c r="I553"/>
    </row>
    <row r="554" spans="8:9" x14ac:dyDescent="0.15">
      <c r="H554"/>
      <c r="I554"/>
    </row>
    <row r="555" spans="8:9" x14ac:dyDescent="0.15">
      <c r="H555"/>
      <c r="I555"/>
    </row>
    <row r="556" spans="8:9" x14ac:dyDescent="0.15">
      <c r="H556"/>
      <c r="I556"/>
    </row>
    <row r="557" spans="8:9" x14ac:dyDescent="0.15">
      <c r="H557"/>
      <c r="I557"/>
    </row>
    <row r="558" spans="8:9" x14ac:dyDescent="0.15">
      <c r="H558"/>
      <c r="I558"/>
    </row>
    <row r="559" spans="8:9" x14ac:dyDescent="0.15">
      <c r="H559"/>
      <c r="I559"/>
    </row>
    <row r="560" spans="8:9" x14ac:dyDescent="0.15">
      <c r="H560"/>
      <c r="I560"/>
    </row>
    <row r="561" spans="8:9" x14ac:dyDescent="0.15">
      <c r="H561"/>
      <c r="I561"/>
    </row>
    <row r="562" spans="8:9" x14ac:dyDescent="0.15">
      <c r="H562"/>
      <c r="I562"/>
    </row>
    <row r="563" spans="8:9" x14ac:dyDescent="0.15">
      <c r="H563"/>
      <c r="I563"/>
    </row>
    <row r="564" spans="8:9" x14ac:dyDescent="0.15">
      <c r="H564"/>
      <c r="I564"/>
    </row>
    <row r="565" spans="8:9" x14ac:dyDescent="0.15">
      <c r="H565"/>
      <c r="I565"/>
    </row>
    <row r="566" spans="8:9" x14ac:dyDescent="0.15">
      <c r="H566"/>
      <c r="I566"/>
    </row>
    <row r="567" spans="8:9" x14ac:dyDescent="0.15">
      <c r="H567"/>
      <c r="I567"/>
    </row>
    <row r="568" spans="8:9" x14ac:dyDescent="0.15">
      <c r="H568"/>
      <c r="I568"/>
    </row>
    <row r="569" spans="8:9" x14ac:dyDescent="0.15">
      <c r="H569"/>
      <c r="I569"/>
    </row>
    <row r="570" spans="8:9" x14ac:dyDescent="0.15">
      <c r="H570"/>
      <c r="I570"/>
    </row>
    <row r="571" spans="8:9" x14ac:dyDescent="0.15">
      <c r="H571"/>
      <c r="I571"/>
    </row>
    <row r="572" spans="8:9" x14ac:dyDescent="0.15">
      <c r="H572"/>
      <c r="I572"/>
    </row>
    <row r="573" spans="8:9" x14ac:dyDescent="0.15">
      <c r="H573"/>
      <c r="I573"/>
    </row>
    <row r="574" spans="8:9" x14ac:dyDescent="0.15">
      <c r="H574"/>
      <c r="I574"/>
    </row>
    <row r="575" spans="8:9" x14ac:dyDescent="0.15">
      <c r="H575"/>
      <c r="I575"/>
    </row>
    <row r="576" spans="8:9" x14ac:dyDescent="0.15">
      <c r="H576"/>
      <c r="I576"/>
    </row>
    <row r="577" spans="8:9" x14ac:dyDescent="0.15">
      <c r="H577"/>
      <c r="I577"/>
    </row>
    <row r="578" spans="8:9" x14ac:dyDescent="0.15">
      <c r="H578"/>
      <c r="I578"/>
    </row>
    <row r="579" spans="8:9" x14ac:dyDescent="0.15">
      <c r="H579"/>
      <c r="I579"/>
    </row>
    <row r="580" spans="8:9" x14ac:dyDescent="0.15">
      <c r="H580"/>
      <c r="I580"/>
    </row>
    <row r="581" spans="8:9" x14ac:dyDescent="0.15">
      <c r="H581"/>
      <c r="I581"/>
    </row>
    <row r="582" spans="8:9" x14ac:dyDescent="0.15">
      <c r="H582"/>
      <c r="I582"/>
    </row>
    <row r="583" spans="8:9" x14ac:dyDescent="0.15">
      <c r="H583"/>
      <c r="I583"/>
    </row>
    <row r="584" spans="8:9" x14ac:dyDescent="0.15">
      <c r="H584"/>
      <c r="I584"/>
    </row>
    <row r="585" spans="8:9" x14ac:dyDescent="0.15">
      <c r="H585"/>
      <c r="I585"/>
    </row>
    <row r="586" spans="8:9" x14ac:dyDescent="0.15">
      <c r="H586"/>
      <c r="I586"/>
    </row>
    <row r="587" spans="8:9" x14ac:dyDescent="0.15">
      <c r="H587"/>
      <c r="I587"/>
    </row>
    <row r="588" spans="8:9" x14ac:dyDescent="0.15">
      <c r="H588"/>
      <c r="I588"/>
    </row>
    <row r="589" spans="8:9" x14ac:dyDescent="0.15">
      <c r="H589"/>
      <c r="I589"/>
    </row>
    <row r="590" spans="8:9" x14ac:dyDescent="0.15">
      <c r="H590"/>
      <c r="I590"/>
    </row>
    <row r="591" spans="8:9" x14ac:dyDescent="0.15">
      <c r="H591"/>
      <c r="I591"/>
    </row>
    <row r="592" spans="8:9" x14ac:dyDescent="0.15">
      <c r="H592"/>
      <c r="I592"/>
    </row>
    <row r="593" spans="8:9" x14ac:dyDescent="0.15">
      <c r="H593"/>
      <c r="I593"/>
    </row>
    <row r="594" spans="8:9" x14ac:dyDescent="0.15">
      <c r="H594"/>
      <c r="I594"/>
    </row>
    <row r="595" spans="8:9" x14ac:dyDescent="0.15">
      <c r="H595"/>
      <c r="I595"/>
    </row>
    <row r="596" spans="8:9" x14ac:dyDescent="0.15">
      <c r="H596"/>
      <c r="I596"/>
    </row>
    <row r="597" spans="8:9" x14ac:dyDescent="0.15">
      <c r="H597"/>
      <c r="I597"/>
    </row>
    <row r="598" spans="8:9" x14ac:dyDescent="0.15">
      <c r="H598"/>
      <c r="I598"/>
    </row>
    <row r="599" spans="8:9" x14ac:dyDescent="0.15">
      <c r="H599"/>
      <c r="I599"/>
    </row>
    <row r="600" spans="8:9" x14ac:dyDescent="0.15">
      <c r="H600"/>
      <c r="I600"/>
    </row>
    <row r="601" spans="8:9" x14ac:dyDescent="0.15">
      <c r="H601"/>
      <c r="I601"/>
    </row>
    <row r="602" spans="8:9" x14ac:dyDescent="0.15">
      <c r="H602"/>
      <c r="I602"/>
    </row>
    <row r="603" spans="8:9" x14ac:dyDescent="0.15">
      <c r="H603"/>
      <c r="I603"/>
    </row>
    <row r="604" spans="8:9" x14ac:dyDescent="0.15">
      <c r="H604"/>
      <c r="I604"/>
    </row>
    <row r="605" spans="8:9" x14ac:dyDescent="0.15">
      <c r="H605"/>
      <c r="I605"/>
    </row>
    <row r="606" spans="8:9" x14ac:dyDescent="0.15">
      <c r="H606"/>
      <c r="I606"/>
    </row>
    <row r="607" spans="8:9" x14ac:dyDescent="0.15">
      <c r="H607"/>
      <c r="I607"/>
    </row>
    <row r="608" spans="8:9" x14ac:dyDescent="0.15">
      <c r="H608"/>
      <c r="I608"/>
    </row>
    <row r="609" spans="8:9" x14ac:dyDescent="0.15">
      <c r="H609"/>
      <c r="I609"/>
    </row>
    <row r="610" spans="8:9" x14ac:dyDescent="0.15">
      <c r="H610"/>
      <c r="I610"/>
    </row>
    <row r="611" spans="8:9" x14ac:dyDescent="0.15">
      <c r="H611"/>
      <c r="I611"/>
    </row>
    <row r="612" spans="8:9" x14ac:dyDescent="0.15">
      <c r="H612"/>
      <c r="I612"/>
    </row>
    <row r="613" spans="8:9" x14ac:dyDescent="0.15">
      <c r="H613"/>
      <c r="I613"/>
    </row>
    <row r="614" spans="8:9" x14ac:dyDescent="0.15">
      <c r="H614"/>
      <c r="I614"/>
    </row>
    <row r="615" spans="8:9" x14ac:dyDescent="0.15">
      <c r="H615"/>
      <c r="I615"/>
    </row>
    <row r="616" spans="8:9" x14ac:dyDescent="0.15">
      <c r="H616"/>
      <c r="I616"/>
    </row>
    <row r="617" spans="8:9" x14ac:dyDescent="0.15">
      <c r="H617"/>
      <c r="I617"/>
    </row>
    <row r="618" spans="8:9" x14ac:dyDescent="0.15">
      <c r="H618"/>
      <c r="I618"/>
    </row>
    <row r="619" spans="8:9" x14ac:dyDescent="0.15">
      <c r="H619"/>
      <c r="I619"/>
    </row>
    <row r="620" spans="8:9" x14ac:dyDescent="0.15">
      <c r="H620"/>
      <c r="I620"/>
    </row>
    <row r="621" spans="8:9" x14ac:dyDescent="0.15">
      <c r="H621"/>
      <c r="I621"/>
    </row>
    <row r="622" spans="8:9" x14ac:dyDescent="0.15">
      <c r="H622"/>
      <c r="I622"/>
    </row>
    <row r="623" spans="8:9" x14ac:dyDescent="0.15">
      <c r="H623"/>
      <c r="I623"/>
    </row>
    <row r="624" spans="8:9" x14ac:dyDescent="0.15">
      <c r="H624"/>
      <c r="I624"/>
    </row>
    <row r="625" spans="8:9" x14ac:dyDescent="0.15">
      <c r="H625"/>
      <c r="I625"/>
    </row>
    <row r="626" spans="8:9" x14ac:dyDescent="0.15">
      <c r="H626"/>
      <c r="I626"/>
    </row>
    <row r="627" spans="8:9" x14ac:dyDescent="0.15">
      <c r="H627"/>
      <c r="I627"/>
    </row>
    <row r="628" spans="8:9" x14ac:dyDescent="0.15">
      <c r="H628"/>
      <c r="I628"/>
    </row>
    <row r="629" spans="8:9" x14ac:dyDescent="0.15">
      <c r="H629"/>
      <c r="I629"/>
    </row>
    <row r="630" spans="8:9" x14ac:dyDescent="0.15">
      <c r="H630"/>
      <c r="I630"/>
    </row>
    <row r="631" spans="8:9" x14ac:dyDescent="0.15">
      <c r="H631"/>
      <c r="I631"/>
    </row>
    <row r="632" spans="8:9" x14ac:dyDescent="0.15">
      <c r="H632"/>
      <c r="I632"/>
    </row>
    <row r="633" spans="8:9" x14ac:dyDescent="0.15">
      <c r="H633"/>
      <c r="I633"/>
    </row>
    <row r="634" spans="8:9" x14ac:dyDescent="0.15">
      <c r="H634"/>
      <c r="I634"/>
    </row>
    <row r="635" spans="8:9" x14ac:dyDescent="0.15">
      <c r="H635"/>
      <c r="I635"/>
    </row>
    <row r="636" spans="8:9" x14ac:dyDescent="0.15">
      <c r="H636"/>
      <c r="I636"/>
    </row>
    <row r="637" spans="8:9" x14ac:dyDescent="0.15">
      <c r="H637"/>
      <c r="I637"/>
    </row>
    <row r="638" spans="8:9" x14ac:dyDescent="0.15">
      <c r="H638"/>
      <c r="I638"/>
    </row>
    <row r="639" spans="8:9" x14ac:dyDescent="0.15">
      <c r="H639"/>
      <c r="I639"/>
    </row>
    <row r="640" spans="8:9" x14ac:dyDescent="0.15">
      <c r="H640"/>
      <c r="I640"/>
    </row>
    <row r="641" spans="8:9" x14ac:dyDescent="0.15">
      <c r="H641"/>
      <c r="I641"/>
    </row>
    <row r="642" spans="8:9" x14ac:dyDescent="0.15">
      <c r="H642"/>
      <c r="I642"/>
    </row>
    <row r="643" spans="8:9" x14ac:dyDescent="0.15">
      <c r="H643"/>
      <c r="I643"/>
    </row>
    <row r="644" spans="8:9" x14ac:dyDescent="0.15">
      <c r="H644"/>
      <c r="I644"/>
    </row>
    <row r="645" spans="8:9" x14ac:dyDescent="0.15">
      <c r="H645"/>
      <c r="I645"/>
    </row>
    <row r="646" spans="8:9" x14ac:dyDescent="0.15">
      <c r="H646"/>
      <c r="I646"/>
    </row>
    <row r="647" spans="8:9" x14ac:dyDescent="0.15">
      <c r="H647"/>
      <c r="I647"/>
    </row>
    <row r="648" spans="8:9" x14ac:dyDescent="0.15">
      <c r="H648"/>
      <c r="I648"/>
    </row>
    <row r="649" spans="8:9" x14ac:dyDescent="0.15">
      <c r="H649"/>
      <c r="I649"/>
    </row>
    <row r="650" spans="8:9" x14ac:dyDescent="0.15">
      <c r="H650"/>
      <c r="I650"/>
    </row>
    <row r="651" spans="8:9" x14ac:dyDescent="0.15">
      <c r="H651"/>
      <c r="I651"/>
    </row>
    <row r="652" spans="8:9" x14ac:dyDescent="0.15">
      <c r="H652"/>
      <c r="I652"/>
    </row>
    <row r="653" spans="8:9" x14ac:dyDescent="0.15">
      <c r="H653"/>
      <c r="I653"/>
    </row>
    <row r="654" spans="8:9" x14ac:dyDescent="0.15">
      <c r="H654"/>
      <c r="I654"/>
    </row>
    <row r="655" spans="8:9" x14ac:dyDescent="0.15">
      <c r="H655"/>
      <c r="I655"/>
    </row>
    <row r="656" spans="8:9" x14ac:dyDescent="0.15">
      <c r="H656"/>
      <c r="I656"/>
    </row>
    <row r="657" spans="8:9" x14ac:dyDescent="0.15">
      <c r="H657"/>
      <c r="I657"/>
    </row>
    <row r="658" spans="8:9" x14ac:dyDescent="0.15">
      <c r="H658"/>
      <c r="I658"/>
    </row>
    <row r="659" spans="8:9" x14ac:dyDescent="0.15">
      <c r="H659"/>
      <c r="I659"/>
    </row>
    <row r="660" spans="8:9" x14ac:dyDescent="0.15">
      <c r="H660"/>
      <c r="I660"/>
    </row>
    <row r="661" spans="8:9" x14ac:dyDescent="0.15">
      <c r="H661"/>
      <c r="I661"/>
    </row>
    <row r="662" spans="8:9" x14ac:dyDescent="0.15">
      <c r="H662"/>
      <c r="I662"/>
    </row>
    <row r="663" spans="8:9" x14ac:dyDescent="0.15">
      <c r="H663"/>
      <c r="I663"/>
    </row>
    <row r="664" spans="8:9" x14ac:dyDescent="0.15">
      <c r="H664"/>
      <c r="I664"/>
    </row>
    <row r="665" spans="8:9" x14ac:dyDescent="0.15">
      <c r="H665"/>
      <c r="I665"/>
    </row>
    <row r="666" spans="8:9" x14ac:dyDescent="0.15">
      <c r="H666"/>
      <c r="I666"/>
    </row>
    <row r="667" spans="8:9" x14ac:dyDescent="0.15">
      <c r="H667"/>
      <c r="I667"/>
    </row>
    <row r="668" spans="8:9" x14ac:dyDescent="0.15">
      <c r="H668"/>
      <c r="I668"/>
    </row>
    <row r="669" spans="8:9" x14ac:dyDescent="0.15">
      <c r="H669"/>
      <c r="I669"/>
    </row>
    <row r="670" spans="8:9" x14ac:dyDescent="0.15">
      <c r="H670"/>
      <c r="I670"/>
    </row>
    <row r="671" spans="8:9" x14ac:dyDescent="0.15">
      <c r="H671"/>
      <c r="I671"/>
    </row>
    <row r="672" spans="8:9" x14ac:dyDescent="0.15">
      <c r="H672"/>
      <c r="I672"/>
    </row>
    <row r="673" spans="8:9" x14ac:dyDescent="0.15">
      <c r="H673"/>
      <c r="I673"/>
    </row>
    <row r="674" spans="8:9" x14ac:dyDescent="0.15">
      <c r="H674"/>
      <c r="I674"/>
    </row>
    <row r="675" spans="8:9" x14ac:dyDescent="0.15">
      <c r="H675"/>
      <c r="I675"/>
    </row>
    <row r="676" spans="8:9" x14ac:dyDescent="0.15">
      <c r="H676"/>
      <c r="I676"/>
    </row>
    <row r="677" spans="8:9" x14ac:dyDescent="0.15">
      <c r="H677"/>
      <c r="I677"/>
    </row>
    <row r="678" spans="8:9" x14ac:dyDescent="0.15">
      <c r="H678"/>
      <c r="I678"/>
    </row>
    <row r="679" spans="8:9" x14ac:dyDescent="0.15">
      <c r="H679"/>
      <c r="I679"/>
    </row>
    <row r="680" spans="8:9" x14ac:dyDescent="0.15">
      <c r="H680"/>
      <c r="I680"/>
    </row>
    <row r="681" spans="8:9" x14ac:dyDescent="0.15">
      <c r="H681"/>
      <c r="I681"/>
    </row>
    <row r="682" spans="8:9" x14ac:dyDescent="0.15">
      <c r="H682"/>
      <c r="I682"/>
    </row>
    <row r="683" spans="8:9" x14ac:dyDescent="0.15">
      <c r="H683"/>
      <c r="I683"/>
    </row>
    <row r="684" spans="8:9" x14ac:dyDescent="0.15">
      <c r="H684"/>
      <c r="I684"/>
    </row>
    <row r="685" spans="8:9" x14ac:dyDescent="0.15">
      <c r="H685"/>
      <c r="I685"/>
    </row>
    <row r="686" spans="8:9" x14ac:dyDescent="0.15">
      <c r="H686"/>
      <c r="I686"/>
    </row>
    <row r="687" spans="8:9" x14ac:dyDescent="0.15">
      <c r="H687"/>
      <c r="I687"/>
    </row>
    <row r="688" spans="8:9" x14ac:dyDescent="0.15">
      <c r="H688"/>
      <c r="I688"/>
    </row>
    <row r="689" spans="8:9" x14ac:dyDescent="0.15">
      <c r="H689"/>
      <c r="I689"/>
    </row>
    <row r="690" spans="8:9" x14ac:dyDescent="0.15">
      <c r="H690"/>
      <c r="I690"/>
    </row>
    <row r="691" spans="8:9" x14ac:dyDescent="0.15">
      <c r="H691"/>
      <c r="I691"/>
    </row>
    <row r="692" spans="8:9" x14ac:dyDescent="0.15">
      <c r="H692"/>
      <c r="I692"/>
    </row>
    <row r="693" spans="8:9" x14ac:dyDescent="0.15">
      <c r="H693"/>
      <c r="I693"/>
    </row>
    <row r="694" spans="8:9" x14ac:dyDescent="0.15">
      <c r="H694"/>
      <c r="I694"/>
    </row>
    <row r="695" spans="8:9" x14ac:dyDescent="0.15">
      <c r="H695"/>
      <c r="I695"/>
    </row>
    <row r="696" spans="8:9" x14ac:dyDescent="0.15">
      <c r="H696"/>
      <c r="I696"/>
    </row>
    <row r="697" spans="8:9" x14ac:dyDescent="0.15">
      <c r="H697"/>
      <c r="I697"/>
    </row>
    <row r="698" spans="8:9" x14ac:dyDescent="0.15">
      <c r="H698"/>
      <c r="I698"/>
    </row>
    <row r="699" spans="8:9" x14ac:dyDescent="0.15">
      <c r="H699"/>
      <c r="I699"/>
    </row>
    <row r="700" spans="8:9" x14ac:dyDescent="0.15">
      <c r="H700"/>
      <c r="I700"/>
    </row>
    <row r="701" spans="8:9" x14ac:dyDescent="0.15">
      <c r="H701"/>
      <c r="I701"/>
    </row>
    <row r="702" spans="8:9" x14ac:dyDescent="0.15">
      <c r="H702"/>
      <c r="I702"/>
    </row>
    <row r="703" spans="8:9" x14ac:dyDescent="0.15">
      <c r="H703"/>
      <c r="I703"/>
    </row>
    <row r="704" spans="8:9" x14ac:dyDescent="0.15">
      <c r="H704"/>
      <c r="I704"/>
    </row>
    <row r="705" spans="8:9" x14ac:dyDescent="0.15">
      <c r="H705"/>
      <c r="I705"/>
    </row>
    <row r="706" spans="8:9" x14ac:dyDescent="0.15">
      <c r="H706"/>
      <c r="I706"/>
    </row>
    <row r="707" spans="8:9" x14ac:dyDescent="0.15">
      <c r="H707"/>
      <c r="I707"/>
    </row>
    <row r="708" spans="8:9" x14ac:dyDescent="0.15">
      <c r="H708"/>
      <c r="I708"/>
    </row>
    <row r="709" spans="8:9" x14ac:dyDescent="0.15">
      <c r="H709"/>
      <c r="I709"/>
    </row>
    <row r="710" spans="8:9" x14ac:dyDescent="0.15">
      <c r="H710"/>
      <c r="I710"/>
    </row>
    <row r="711" spans="8:9" x14ac:dyDescent="0.15">
      <c r="H711"/>
      <c r="I711"/>
    </row>
    <row r="712" spans="8:9" x14ac:dyDescent="0.15">
      <c r="H712"/>
      <c r="I712"/>
    </row>
    <row r="713" spans="8:9" x14ac:dyDescent="0.15">
      <c r="H713"/>
      <c r="I713"/>
    </row>
    <row r="714" spans="8:9" x14ac:dyDescent="0.15">
      <c r="H714"/>
      <c r="I714"/>
    </row>
    <row r="715" spans="8:9" x14ac:dyDescent="0.15">
      <c r="H715"/>
      <c r="I715"/>
    </row>
    <row r="716" spans="8:9" x14ac:dyDescent="0.15">
      <c r="H716"/>
      <c r="I716"/>
    </row>
    <row r="717" spans="8:9" x14ac:dyDescent="0.15">
      <c r="H717"/>
      <c r="I717"/>
    </row>
    <row r="718" spans="8:9" x14ac:dyDescent="0.15">
      <c r="H718"/>
      <c r="I718"/>
    </row>
    <row r="719" spans="8:9" x14ac:dyDescent="0.15">
      <c r="H719"/>
      <c r="I719"/>
    </row>
    <row r="720" spans="8:9" x14ac:dyDescent="0.15">
      <c r="H720"/>
      <c r="I720"/>
    </row>
    <row r="721" spans="8:9" x14ac:dyDescent="0.15">
      <c r="H721"/>
      <c r="I721"/>
    </row>
    <row r="722" spans="8:9" x14ac:dyDescent="0.15">
      <c r="H722"/>
      <c r="I722"/>
    </row>
    <row r="723" spans="8:9" x14ac:dyDescent="0.15">
      <c r="H723"/>
      <c r="I723"/>
    </row>
    <row r="724" spans="8:9" x14ac:dyDescent="0.15">
      <c r="H724"/>
      <c r="I724"/>
    </row>
    <row r="725" spans="8:9" x14ac:dyDescent="0.15">
      <c r="H725"/>
      <c r="I725"/>
    </row>
    <row r="726" spans="8:9" x14ac:dyDescent="0.15">
      <c r="H726"/>
      <c r="I726"/>
    </row>
    <row r="727" spans="8:9" x14ac:dyDescent="0.15">
      <c r="H727"/>
      <c r="I727"/>
    </row>
    <row r="728" spans="8:9" x14ac:dyDescent="0.15">
      <c r="H728"/>
      <c r="I728"/>
    </row>
    <row r="729" spans="8:9" x14ac:dyDescent="0.15">
      <c r="H729"/>
      <c r="I729"/>
    </row>
    <row r="730" spans="8:9" x14ac:dyDescent="0.15">
      <c r="H730"/>
      <c r="I730"/>
    </row>
    <row r="731" spans="8:9" x14ac:dyDescent="0.15">
      <c r="H731"/>
      <c r="I731"/>
    </row>
    <row r="732" spans="8:9" x14ac:dyDescent="0.15">
      <c r="H732"/>
      <c r="I732"/>
    </row>
    <row r="733" spans="8:9" x14ac:dyDescent="0.15">
      <c r="H733"/>
      <c r="I733"/>
    </row>
    <row r="734" spans="8:9" x14ac:dyDescent="0.15">
      <c r="H734"/>
      <c r="I734"/>
    </row>
    <row r="735" spans="8:9" x14ac:dyDescent="0.15">
      <c r="H735"/>
      <c r="I735"/>
    </row>
    <row r="736" spans="8:9" x14ac:dyDescent="0.15">
      <c r="H736"/>
      <c r="I736"/>
    </row>
    <row r="737" spans="8:9" x14ac:dyDescent="0.15">
      <c r="H737"/>
      <c r="I737"/>
    </row>
    <row r="738" spans="8:9" x14ac:dyDescent="0.15">
      <c r="H738"/>
      <c r="I738"/>
    </row>
    <row r="739" spans="8:9" x14ac:dyDescent="0.15">
      <c r="H739"/>
      <c r="I739"/>
    </row>
    <row r="740" spans="8:9" x14ac:dyDescent="0.15">
      <c r="H740"/>
      <c r="I740"/>
    </row>
    <row r="741" spans="8:9" x14ac:dyDescent="0.15">
      <c r="H741"/>
      <c r="I741"/>
    </row>
    <row r="742" spans="8:9" x14ac:dyDescent="0.15">
      <c r="H742"/>
      <c r="I742"/>
    </row>
    <row r="743" spans="8:9" x14ac:dyDescent="0.15">
      <c r="H743"/>
      <c r="I743"/>
    </row>
    <row r="744" spans="8:9" x14ac:dyDescent="0.15">
      <c r="H744"/>
      <c r="I744"/>
    </row>
    <row r="745" spans="8:9" x14ac:dyDescent="0.15">
      <c r="H745"/>
      <c r="I745"/>
    </row>
    <row r="746" spans="8:9" x14ac:dyDescent="0.15">
      <c r="H746"/>
      <c r="I746"/>
    </row>
    <row r="747" spans="8:9" x14ac:dyDescent="0.15">
      <c r="H747"/>
      <c r="I747"/>
    </row>
    <row r="748" spans="8:9" x14ac:dyDescent="0.15">
      <c r="H748"/>
      <c r="I748"/>
    </row>
    <row r="749" spans="8:9" x14ac:dyDescent="0.15">
      <c r="H749"/>
      <c r="I749"/>
    </row>
    <row r="750" spans="8:9" x14ac:dyDescent="0.15">
      <c r="H750"/>
      <c r="I750"/>
    </row>
    <row r="751" spans="8:9" x14ac:dyDescent="0.15">
      <c r="H751"/>
      <c r="I751"/>
    </row>
    <row r="752" spans="8:9" x14ac:dyDescent="0.15">
      <c r="H752"/>
      <c r="I752"/>
    </row>
    <row r="753" spans="8:9" x14ac:dyDescent="0.15">
      <c r="H753"/>
      <c r="I753"/>
    </row>
    <row r="754" spans="8:9" x14ac:dyDescent="0.15">
      <c r="H754"/>
      <c r="I754"/>
    </row>
    <row r="755" spans="8:9" x14ac:dyDescent="0.15">
      <c r="H755"/>
      <c r="I755"/>
    </row>
    <row r="756" spans="8:9" x14ac:dyDescent="0.15">
      <c r="H756"/>
      <c r="I756"/>
    </row>
    <row r="757" spans="8:9" x14ac:dyDescent="0.15">
      <c r="H757"/>
      <c r="I757"/>
    </row>
    <row r="758" spans="8:9" x14ac:dyDescent="0.15">
      <c r="H758"/>
      <c r="I758"/>
    </row>
    <row r="759" spans="8:9" x14ac:dyDescent="0.15">
      <c r="H759"/>
      <c r="I759"/>
    </row>
    <row r="760" spans="8:9" x14ac:dyDescent="0.15">
      <c r="H760"/>
      <c r="I760"/>
    </row>
    <row r="761" spans="8:9" x14ac:dyDescent="0.15">
      <c r="H761"/>
      <c r="I761"/>
    </row>
    <row r="762" spans="8:9" x14ac:dyDescent="0.15">
      <c r="H762"/>
      <c r="I762"/>
    </row>
    <row r="763" spans="8:9" x14ac:dyDescent="0.15">
      <c r="H763"/>
      <c r="I763"/>
    </row>
    <row r="764" spans="8:9" x14ac:dyDescent="0.15">
      <c r="H764"/>
      <c r="I764"/>
    </row>
    <row r="765" spans="8:9" x14ac:dyDescent="0.15">
      <c r="H765"/>
      <c r="I765"/>
    </row>
    <row r="766" spans="8:9" x14ac:dyDescent="0.15">
      <c r="H766"/>
      <c r="I766"/>
    </row>
    <row r="767" spans="8:9" x14ac:dyDescent="0.15">
      <c r="H767"/>
      <c r="I767"/>
    </row>
    <row r="768" spans="8:9" x14ac:dyDescent="0.15">
      <c r="H768"/>
      <c r="I768"/>
    </row>
    <row r="769" spans="8:9" x14ac:dyDescent="0.15">
      <c r="H769"/>
      <c r="I769"/>
    </row>
    <row r="770" spans="8:9" x14ac:dyDescent="0.15">
      <c r="H770"/>
      <c r="I770"/>
    </row>
    <row r="771" spans="8:9" x14ac:dyDescent="0.15">
      <c r="H771"/>
      <c r="I771"/>
    </row>
    <row r="772" spans="8:9" x14ac:dyDescent="0.15">
      <c r="H772"/>
      <c r="I772"/>
    </row>
    <row r="773" spans="8:9" x14ac:dyDescent="0.15">
      <c r="H773"/>
      <c r="I773"/>
    </row>
    <row r="774" spans="8:9" x14ac:dyDescent="0.15">
      <c r="H774"/>
      <c r="I774"/>
    </row>
    <row r="775" spans="8:9" x14ac:dyDescent="0.15">
      <c r="H775"/>
      <c r="I775"/>
    </row>
    <row r="776" spans="8:9" x14ac:dyDescent="0.15">
      <c r="H776"/>
      <c r="I776"/>
    </row>
    <row r="777" spans="8:9" x14ac:dyDescent="0.15">
      <c r="H777"/>
      <c r="I777"/>
    </row>
    <row r="778" spans="8:9" x14ac:dyDescent="0.15">
      <c r="H778"/>
      <c r="I778"/>
    </row>
    <row r="779" spans="8:9" x14ac:dyDescent="0.15">
      <c r="H779"/>
      <c r="I779"/>
    </row>
    <row r="780" spans="8:9" x14ac:dyDescent="0.15">
      <c r="H780"/>
      <c r="I780"/>
    </row>
    <row r="781" spans="8:9" x14ac:dyDescent="0.15">
      <c r="H781"/>
      <c r="I781"/>
    </row>
    <row r="782" spans="8:9" x14ac:dyDescent="0.15">
      <c r="H782"/>
      <c r="I782"/>
    </row>
    <row r="783" spans="8:9" x14ac:dyDescent="0.15">
      <c r="H783"/>
      <c r="I783"/>
    </row>
    <row r="784" spans="8:9" x14ac:dyDescent="0.15">
      <c r="H784"/>
      <c r="I784"/>
    </row>
    <row r="785" spans="8:9" x14ac:dyDescent="0.15">
      <c r="H785"/>
      <c r="I785"/>
    </row>
    <row r="786" spans="8:9" x14ac:dyDescent="0.15">
      <c r="H786"/>
      <c r="I786"/>
    </row>
    <row r="787" spans="8:9" x14ac:dyDescent="0.15">
      <c r="H787"/>
      <c r="I787"/>
    </row>
    <row r="788" spans="8:9" x14ac:dyDescent="0.15">
      <c r="H788"/>
      <c r="I788"/>
    </row>
    <row r="789" spans="8:9" x14ac:dyDescent="0.15">
      <c r="H789"/>
      <c r="I789"/>
    </row>
    <row r="790" spans="8:9" x14ac:dyDescent="0.15">
      <c r="H790"/>
      <c r="I790"/>
    </row>
    <row r="791" spans="8:9" x14ac:dyDescent="0.15">
      <c r="H791"/>
      <c r="I791"/>
    </row>
    <row r="792" spans="8:9" x14ac:dyDescent="0.15">
      <c r="H792"/>
      <c r="I792"/>
    </row>
    <row r="793" spans="8:9" x14ac:dyDescent="0.15">
      <c r="H793"/>
      <c r="I793"/>
    </row>
    <row r="794" spans="8:9" x14ac:dyDescent="0.15">
      <c r="H794"/>
      <c r="I794"/>
    </row>
    <row r="795" spans="8:9" x14ac:dyDescent="0.15">
      <c r="H795"/>
      <c r="I795"/>
    </row>
    <row r="796" spans="8:9" x14ac:dyDescent="0.15">
      <c r="H796"/>
      <c r="I796"/>
    </row>
    <row r="797" spans="8:9" x14ac:dyDescent="0.15">
      <c r="H797"/>
      <c r="I797"/>
    </row>
    <row r="798" spans="8:9" x14ac:dyDescent="0.15">
      <c r="H798"/>
      <c r="I798"/>
    </row>
    <row r="799" spans="8:9" x14ac:dyDescent="0.15">
      <c r="H799"/>
      <c r="I799"/>
    </row>
    <row r="800" spans="8:9" x14ac:dyDescent="0.15">
      <c r="H800"/>
      <c r="I800"/>
    </row>
    <row r="801" spans="8:9" x14ac:dyDescent="0.15">
      <c r="H801"/>
      <c r="I801"/>
    </row>
    <row r="802" spans="8:9" x14ac:dyDescent="0.15">
      <c r="H802"/>
      <c r="I802"/>
    </row>
    <row r="803" spans="8:9" x14ac:dyDescent="0.15">
      <c r="H803"/>
      <c r="I803"/>
    </row>
    <row r="804" spans="8:9" x14ac:dyDescent="0.15">
      <c r="H804"/>
      <c r="I804"/>
    </row>
    <row r="805" spans="8:9" x14ac:dyDescent="0.15">
      <c r="H805"/>
      <c r="I805"/>
    </row>
    <row r="806" spans="8:9" x14ac:dyDescent="0.15">
      <c r="H806"/>
      <c r="I806"/>
    </row>
    <row r="807" spans="8:9" x14ac:dyDescent="0.15">
      <c r="H807"/>
      <c r="I807"/>
    </row>
    <row r="808" spans="8:9" x14ac:dyDescent="0.15">
      <c r="H808"/>
      <c r="I808"/>
    </row>
    <row r="809" spans="8:9" x14ac:dyDescent="0.15">
      <c r="H809"/>
      <c r="I809"/>
    </row>
    <row r="810" spans="8:9" x14ac:dyDescent="0.15">
      <c r="H810"/>
      <c r="I810"/>
    </row>
    <row r="811" spans="8:9" x14ac:dyDescent="0.15">
      <c r="H811"/>
      <c r="I811"/>
    </row>
    <row r="812" spans="8:9" x14ac:dyDescent="0.15">
      <c r="H812"/>
      <c r="I812"/>
    </row>
    <row r="813" spans="8:9" x14ac:dyDescent="0.15">
      <c r="H813"/>
      <c r="I813"/>
    </row>
    <row r="814" spans="8:9" x14ac:dyDescent="0.15">
      <c r="H814"/>
      <c r="I814"/>
    </row>
    <row r="815" spans="8:9" x14ac:dyDescent="0.15">
      <c r="H815"/>
      <c r="I815"/>
    </row>
    <row r="816" spans="8:9" x14ac:dyDescent="0.15">
      <c r="H816"/>
      <c r="I816"/>
    </row>
    <row r="817" spans="8:9" x14ac:dyDescent="0.15">
      <c r="H817"/>
      <c r="I817"/>
    </row>
    <row r="818" spans="8:9" x14ac:dyDescent="0.15">
      <c r="H818"/>
      <c r="I818"/>
    </row>
    <row r="819" spans="8:9" x14ac:dyDescent="0.15">
      <c r="H819"/>
      <c r="I819"/>
    </row>
    <row r="820" spans="8:9" x14ac:dyDescent="0.15">
      <c r="H820"/>
      <c r="I820"/>
    </row>
    <row r="821" spans="8:9" x14ac:dyDescent="0.15">
      <c r="H821"/>
      <c r="I821"/>
    </row>
    <row r="822" spans="8:9" x14ac:dyDescent="0.15">
      <c r="H822"/>
      <c r="I822"/>
    </row>
    <row r="823" spans="8:9" x14ac:dyDescent="0.15">
      <c r="H823"/>
      <c r="I823"/>
    </row>
    <row r="824" spans="8:9" x14ac:dyDescent="0.15">
      <c r="H824"/>
      <c r="I824"/>
    </row>
    <row r="825" spans="8:9" x14ac:dyDescent="0.15">
      <c r="H825"/>
      <c r="I825"/>
    </row>
    <row r="826" spans="8:9" x14ac:dyDescent="0.15">
      <c r="H826"/>
      <c r="I826"/>
    </row>
    <row r="827" spans="8:9" x14ac:dyDescent="0.15">
      <c r="H827"/>
      <c r="I827"/>
    </row>
    <row r="828" spans="8:9" x14ac:dyDescent="0.15">
      <c r="H828"/>
      <c r="I828"/>
    </row>
    <row r="829" spans="8:9" x14ac:dyDescent="0.15">
      <c r="H829"/>
      <c r="I829"/>
    </row>
    <row r="830" spans="8:9" x14ac:dyDescent="0.15">
      <c r="H830"/>
      <c r="I830"/>
    </row>
    <row r="831" spans="8:9" x14ac:dyDescent="0.15">
      <c r="H831"/>
      <c r="I831"/>
    </row>
    <row r="832" spans="8:9" x14ac:dyDescent="0.15">
      <c r="H832"/>
      <c r="I832"/>
    </row>
    <row r="833" spans="8:9" x14ac:dyDescent="0.15">
      <c r="H833"/>
      <c r="I833"/>
    </row>
    <row r="834" spans="8:9" x14ac:dyDescent="0.15">
      <c r="H834"/>
      <c r="I834"/>
    </row>
    <row r="835" spans="8:9" x14ac:dyDescent="0.15">
      <c r="H835"/>
      <c r="I835"/>
    </row>
    <row r="836" spans="8:9" x14ac:dyDescent="0.15">
      <c r="H836"/>
      <c r="I836"/>
    </row>
    <row r="837" spans="8:9" x14ac:dyDescent="0.15">
      <c r="H837"/>
      <c r="I837"/>
    </row>
    <row r="838" spans="8:9" x14ac:dyDescent="0.15">
      <c r="H838"/>
      <c r="I838"/>
    </row>
    <row r="839" spans="8:9" x14ac:dyDescent="0.15">
      <c r="H839"/>
      <c r="I839"/>
    </row>
    <row r="840" spans="8:9" x14ac:dyDescent="0.15">
      <c r="H840"/>
      <c r="I840"/>
    </row>
    <row r="841" spans="8:9" x14ac:dyDescent="0.15">
      <c r="H841"/>
      <c r="I841"/>
    </row>
    <row r="842" spans="8:9" x14ac:dyDescent="0.15">
      <c r="H842"/>
      <c r="I842"/>
    </row>
    <row r="843" spans="8:9" x14ac:dyDescent="0.15">
      <c r="H843"/>
      <c r="I843"/>
    </row>
    <row r="844" spans="8:9" x14ac:dyDescent="0.15">
      <c r="H844"/>
      <c r="I844"/>
    </row>
    <row r="845" spans="8:9" x14ac:dyDescent="0.15">
      <c r="H845"/>
      <c r="I845"/>
    </row>
    <row r="846" spans="8:9" x14ac:dyDescent="0.15">
      <c r="H846"/>
      <c r="I846"/>
    </row>
    <row r="847" spans="8:9" x14ac:dyDescent="0.15">
      <c r="H847"/>
      <c r="I847"/>
    </row>
    <row r="848" spans="8:9" x14ac:dyDescent="0.15">
      <c r="H848"/>
      <c r="I848"/>
    </row>
    <row r="849" spans="8:9" x14ac:dyDescent="0.15">
      <c r="H849"/>
      <c r="I849"/>
    </row>
    <row r="850" spans="8:9" x14ac:dyDescent="0.15">
      <c r="H850"/>
      <c r="I850"/>
    </row>
    <row r="851" spans="8:9" x14ac:dyDescent="0.15">
      <c r="H851"/>
      <c r="I851"/>
    </row>
    <row r="852" spans="8:9" x14ac:dyDescent="0.15">
      <c r="H852"/>
      <c r="I852"/>
    </row>
    <row r="853" spans="8:9" x14ac:dyDescent="0.15">
      <c r="H853"/>
      <c r="I853"/>
    </row>
    <row r="854" spans="8:9" x14ac:dyDescent="0.15">
      <c r="H854"/>
      <c r="I854"/>
    </row>
    <row r="855" spans="8:9" x14ac:dyDescent="0.15">
      <c r="H855"/>
      <c r="I855"/>
    </row>
    <row r="856" spans="8:9" x14ac:dyDescent="0.15">
      <c r="H856"/>
      <c r="I856"/>
    </row>
    <row r="857" spans="8:9" x14ac:dyDescent="0.15">
      <c r="H857"/>
      <c r="I857"/>
    </row>
    <row r="858" spans="8:9" x14ac:dyDescent="0.15">
      <c r="H858"/>
      <c r="I858"/>
    </row>
    <row r="859" spans="8:9" x14ac:dyDescent="0.15">
      <c r="H859"/>
      <c r="I859"/>
    </row>
    <row r="860" spans="8:9" x14ac:dyDescent="0.15">
      <c r="H860"/>
      <c r="I860"/>
    </row>
    <row r="861" spans="8:9" x14ac:dyDescent="0.15">
      <c r="H861"/>
      <c r="I861"/>
    </row>
    <row r="862" spans="8:9" x14ac:dyDescent="0.15">
      <c r="H862"/>
      <c r="I862"/>
    </row>
    <row r="863" spans="8:9" x14ac:dyDescent="0.15">
      <c r="H863"/>
      <c r="I863"/>
    </row>
    <row r="864" spans="8:9" x14ac:dyDescent="0.15">
      <c r="H864"/>
      <c r="I864"/>
    </row>
    <row r="865" spans="8:9" x14ac:dyDescent="0.15">
      <c r="H865"/>
      <c r="I865"/>
    </row>
    <row r="866" spans="8:9" x14ac:dyDescent="0.15">
      <c r="H866"/>
      <c r="I866"/>
    </row>
    <row r="867" spans="8:9" x14ac:dyDescent="0.15">
      <c r="H867"/>
      <c r="I867"/>
    </row>
    <row r="868" spans="8:9" x14ac:dyDescent="0.15">
      <c r="H868"/>
      <c r="I868"/>
    </row>
    <row r="869" spans="8:9" x14ac:dyDescent="0.15">
      <c r="H869"/>
      <c r="I869"/>
    </row>
    <row r="870" spans="8:9" x14ac:dyDescent="0.15">
      <c r="H870"/>
      <c r="I870"/>
    </row>
    <row r="871" spans="8:9" x14ac:dyDescent="0.15">
      <c r="H871"/>
      <c r="I871"/>
    </row>
    <row r="872" spans="8:9" x14ac:dyDescent="0.15">
      <c r="H872"/>
      <c r="I872"/>
    </row>
    <row r="873" spans="8:9" x14ac:dyDescent="0.15">
      <c r="H873"/>
      <c r="I873"/>
    </row>
    <row r="874" spans="8:9" x14ac:dyDescent="0.15">
      <c r="H874"/>
      <c r="I874"/>
    </row>
    <row r="875" spans="8:9" x14ac:dyDescent="0.15">
      <c r="H875"/>
      <c r="I875"/>
    </row>
    <row r="876" spans="8:9" x14ac:dyDescent="0.15">
      <c r="H876"/>
      <c r="I876"/>
    </row>
    <row r="877" spans="8:9" x14ac:dyDescent="0.15">
      <c r="H877"/>
      <c r="I877"/>
    </row>
    <row r="878" spans="8:9" x14ac:dyDescent="0.15">
      <c r="H878"/>
      <c r="I878"/>
    </row>
    <row r="879" spans="8:9" x14ac:dyDescent="0.15">
      <c r="H879"/>
      <c r="I879"/>
    </row>
    <row r="880" spans="8:9" x14ac:dyDescent="0.15">
      <c r="H880"/>
      <c r="I880"/>
    </row>
    <row r="881" spans="8:9" x14ac:dyDescent="0.15">
      <c r="H881"/>
      <c r="I881"/>
    </row>
    <row r="882" spans="8:9" x14ac:dyDescent="0.15">
      <c r="H882"/>
      <c r="I882"/>
    </row>
    <row r="883" spans="8:9" x14ac:dyDescent="0.15">
      <c r="H883"/>
      <c r="I883"/>
    </row>
    <row r="884" spans="8:9" x14ac:dyDescent="0.15">
      <c r="H884"/>
      <c r="I884"/>
    </row>
    <row r="885" spans="8:9" x14ac:dyDescent="0.15">
      <c r="H885"/>
      <c r="I885"/>
    </row>
    <row r="886" spans="8:9" x14ac:dyDescent="0.15">
      <c r="H886"/>
      <c r="I886"/>
    </row>
    <row r="887" spans="8:9" x14ac:dyDescent="0.15">
      <c r="H887"/>
      <c r="I887"/>
    </row>
    <row r="888" spans="8:9" x14ac:dyDescent="0.15">
      <c r="H888"/>
      <c r="I888"/>
    </row>
    <row r="889" spans="8:9" x14ac:dyDescent="0.15">
      <c r="H889"/>
      <c r="I889"/>
    </row>
    <row r="890" spans="8:9" x14ac:dyDescent="0.15">
      <c r="H890"/>
      <c r="I890"/>
    </row>
    <row r="891" spans="8:9" x14ac:dyDescent="0.15">
      <c r="H891"/>
      <c r="I891"/>
    </row>
    <row r="892" spans="8:9" x14ac:dyDescent="0.15">
      <c r="H892"/>
      <c r="I892"/>
    </row>
    <row r="893" spans="8:9" x14ac:dyDescent="0.15">
      <c r="H893"/>
      <c r="I893"/>
    </row>
    <row r="894" spans="8:9" x14ac:dyDescent="0.15">
      <c r="H894"/>
      <c r="I894"/>
    </row>
    <row r="895" spans="8:9" x14ac:dyDescent="0.15">
      <c r="H895"/>
      <c r="I895"/>
    </row>
    <row r="896" spans="8:9" x14ac:dyDescent="0.15">
      <c r="H896"/>
      <c r="I896"/>
    </row>
    <row r="897" spans="8:9" x14ac:dyDescent="0.15">
      <c r="H897"/>
      <c r="I897"/>
    </row>
    <row r="898" spans="8:9" x14ac:dyDescent="0.15">
      <c r="H898"/>
      <c r="I898"/>
    </row>
    <row r="899" spans="8:9" x14ac:dyDescent="0.15">
      <c r="H899"/>
      <c r="I899"/>
    </row>
    <row r="900" spans="8:9" x14ac:dyDescent="0.15">
      <c r="H900"/>
      <c r="I900"/>
    </row>
    <row r="901" spans="8:9" x14ac:dyDescent="0.15">
      <c r="H901"/>
      <c r="I901"/>
    </row>
    <row r="902" spans="8:9" x14ac:dyDescent="0.15">
      <c r="H902"/>
      <c r="I902"/>
    </row>
    <row r="903" spans="8:9" x14ac:dyDescent="0.15">
      <c r="H903"/>
      <c r="I903"/>
    </row>
    <row r="904" spans="8:9" x14ac:dyDescent="0.15">
      <c r="H904"/>
      <c r="I904"/>
    </row>
    <row r="905" spans="8:9" x14ac:dyDescent="0.15">
      <c r="H905"/>
      <c r="I905"/>
    </row>
    <row r="906" spans="8:9" x14ac:dyDescent="0.15">
      <c r="H906"/>
      <c r="I906"/>
    </row>
    <row r="907" spans="8:9" x14ac:dyDescent="0.15">
      <c r="H907"/>
      <c r="I907"/>
    </row>
    <row r="908" spans="8:9" x14ac:dyDescent="0.15">
      <c r="H908"/>
      <c r="I908"/>
    </row>
    <row r="909" spans="8:9" x14ac:dyDescent="0.15">
      <c r="H909"/>
      <c r="I909"/>
    </row>
    <row r="910" spans="8:9" x14ac:dyDescent="0.15">
      <c r="H910"/>
      <c r="I910"/>
    </row>
    <row r="911" spans="8:9" x14ac:dyDescent="0.15">
      <c r="H911"/>
      <c r="I911"/>
    </row>
    <row r="912" spans="8:9" x14ac:dyDescent="0.15">
      <c r="H912"/>
      <c r="I912"/>
    </row>
    <row r="913" spans="8:9" x14ac:dyDescent="0.15">
      <c r="H913"/>
      <c r="I913"/>
    </row>
    <row r="914" spans="8:9" x14ac:dyDescent="0.15">
      <c r="H914"/>
      <c r="I914"/>
    </row>
    <row r="915" spans="8:9" x14ac:dyDescent="0.15">
      <c r="H915"/>
      <c r="I915"/>
    </row>
    <row r="916" spans="8:9" x14ac:dyDescent="0.15">
      <c r="H916"/>
      <c r="I916"/>
    </row>
    <row r="917" spans="8:9" x14ac:dyDescent="0.15">
      <c r="H917"/>
      <c r="I917"/>
    </row>
    <row r="918" spans="8:9" x14ac:dyDescent="0.15">
      <c r="H918"/>
      <c r="I918"/>
    </row>
    <row r="919" spans="8:9" x14ac:dyDescent="0.15">
      <c r="H919"/>
      <c r="I919"/>
    </row>
    <row r="920" spans="8:9" x14ac:dyDescent="0.15">
      <c r="H920"/>
      <c r="I920"/>
    </row>
    <row r="921" spans="8:9" x14ac:dyDescent="0.15">
      <c r="H921"/>
      <c r="I921"/>
    </row>
    <row r="922" spans="8:9" x14ac:dyDescent="0.15">
      <c r="H922"/>
      <c r="I922"/>
    </row>
    <row r="923" spans="8:9" x14ac:dyDescent="0.15">
      <c r="H923"/>
      <c r="I923"/>
    </row>
    <row r="924" spans="8:9" x14ac:dyDescent="0.15">
      <c r="H924"/>
      <c r="I924"/>
    </row>
    <row r="925" spans="8:9" x14ac:dyDescent="0.15">
      <c r="H925"/>
      <c r="I925"/>
    </row>
    <row r="926" spans="8:9" x14ac:dyDescent="0.15">
      <c r="H926"/>
      <c r="I926"/>
    </row>
    <row r="927" spans="8:9" x14ac:dyDescent="0.15">
      <c r="H927"/>
      <c r="I927"/>
    </row>
    <row r="928" spans="8:9" x14ac:dyDescent="0.15">
      <c r="H928"/>
      <c r="I928"/>
    </row>
    <row r="929" spans="8:9" x14ac:dyDescent="0.15">
      <c r="H929"/>
      <c r="I929"/>
    </row>
    <row r="930" spans="8:9" x14ac:dyDescent="0.15">
      <c r="H930"/>
      <c r="I930"/>
    </row>
    <row r="931" spans="8:9" x14ac:dyDescent="0.15">
      <c r="H931"/>
      <c r="I931"/>
    </row>
    <row r="932" spans="8:9" x14ac:dyDescent="0.15">
      <c r="H932"/>
      <c r="I932"/>
    </row>
    <row r="933" spans="8:9" x14ac:dyDescent="0.15">
      <c r="H933"/>
      <c r="I933"/>
    </row>
    <row r="934" spans="8:9" x14ac:dyDescent="0.15">
      <c r="H934"/>
      <c r="I934"/>
    </row>
    <row r="935" spans="8:9" x14ac:dyDescent="0.15">
      <c r="H935"/>
      <c r="I935"/>
    </row>
    <row r="936" spans="8:9" x14ac:dyDescent="0.15">
      <c r="H936"/>
      <c r="I936"/>
    </row>
    <row r="937" spans="8:9" x14ac:dyDescent="0.15">
      <c r="H937"/>
      <c r="I937"/>
    </row>
    <row r="938" spans="8:9" x14ac:dyDescent="0.15">
      <c r="H938"/>
      <c r="I938"/>
    </row>
    <row r="939" spans="8:9" x14ac:dyDescent="0.15">
      <c r="H939"/>
      <c r="I939"/>
    </row>
    <row r="940" spans="8:9" x14ac:dyDescent="0.15">
      <c r="H940"/>
      <c r="I940"/>
    </row>
    <row r="941" spans="8:9" x14ac:dyDescent="0.15">
      <c r="H941"/>
      <c r="I941"/>
    </row>
    <row r="942" spans="8:9" x14ac:dyDescent="0.15">
      <c r="H942"/>
      <c r="I942"/>
    </row>
    <row r="943" spans="8:9" x14ac:dyDescent="0.15">
      <c r="H943"/>
      <c r="I943"/>
    </row>
    <row r="944" spans="8:9" x14ac:dyDescent="0.15">
      <c r="H944"/>
      <c r="I944"/>
    </row>
    <row r="945" spans="8:9" x14ac:dyDescent="0.15">
      <c r="H945"/>
      <c r="I945"/>
    </row>
    <row r="946" spans="8:9" x14ac:dyDescent="0.15">
      <c r="H946"/>
      <c r="I946"/>
    </row>
    <row r="947" spans="8:9" x14ac:dyDescent="0.15">
      <c r="H947"/>
      <c r="I947"/>
    </row>
    <row r="948" spans="8:9" x14ac:dyDescent="0.15">
      <c r="H948"/>
      <c r="I948"/>
    </row>
    <row r="949" spans="8:9" x14ac:dyDescent="0.15">
      <c r="H949"/>
      <c r="I949"/>
    </row>
    <row r="950" spans="8:9" x14ac:dyDescent="0.15">
      <c r="H950"/>
      <c r="I950"/>
    </row>
    <row r="951" spans="8:9" x14ac:dyDescent="0.15">
      <c r="H951"/>
      <c r="I951"/>
    </row>
    <row r="952" spans="8:9" x14ac:dyDescent="0.15">
      <c r="H952"/>
      <c r="I952"/>
    </row>
    <row r="953" spans="8:9" x14ac:dyDescent="0.15">
      <c r="H953"/>
      <c r="I953"/>
    </row>
    <row r="954" spans="8:9" x14ac:dyDescent="0.15">
      <c r="H954"/>
      <c r="I954"/>
    </row>
    <row r="955" spans="8:9" x14ac:dyDescent="0.15">
      <c r="H955"/>
      <c r="I955"/>
    </row>
    <row r="956" spans="8:9" x14ac:dyDescent="0.15">
      <c r="H956"/>
      <c r="I956"/>
    </row>
    <row r="957" spans="8:9" x14ac:dyDescent="0.15">
      <c r="H957"/>
      <c r="I957"/>
    </row>
    <row r="958" spans="8:9" x14ac:dyDescent="0.15">
      <c r="H958"/>
      <c r="I958"/>
    </row>
    <row r="959" spans="8:9" x14ac:dyDescent="0.15">
      <c r="H959"/>
      <c r="I959"/>
    </row>
    <row r="960" spans="8:9" x14ac:dyDescent="0.15">
      <c r="H960"/>
      <c r="I960"/>
    </row>
    <row r="961" spans="8:9" x14ac:dyDescent="0.15">
      <c r="H961"/>
      <c r="I961"/>
    </row>
    <row r="962" spans="8:9" x14ac:dyDescent="0.15">
      <c r="H962"/>
      <c r="I962"/>
    </row>
    <row r="963" spans="8:9" x14ac:dyDescent="0.15">
      <c r="H963"/>
      <c r="I963"/>
    </row>
    <row r="964" spans="8:9" x14ac:dyDescent="0.15">
      <c r="H964"/>
      <c r="I964"/>
    </row>
    <row r="965" spans="8:9" x14ac:dyDescent="0.15">
      <c r="H965"/>
      <c r="I965"/>
    </row>
    <row r="966" spans="8:9" x14ac:dyDescent="0.15">
      <c r="H966"/>
      <c r="I966"/>
    </row>
    <row r="967" spans="8:9" x14ac:dyDescent="0.15">
      <c r="H967"/>
      <c r="I967"/>
    </row>
    <row r="968" spans="8:9" x14ac:dyDescent="0.15">
      <c r="H968"/>
      <c r="I968"/>
    </row>
    <row r="969" spans="8:9" x14ac:dyDescent="0.15">
      <c r="H969"/>
      <c r="I969"/>
    </row>
    <row r="970" spans="8:9" x14ac:dyDescent="0.15">
      <c r="H970"/>
      <c r="I970"/>
    </row>
    <row r="971" spans="8:9" x14ac:dyDescent="0.15">
      <c r="H971"/>
      <c r="I971"/>
    </row>
    <row r="972" spans="8:9" x14ac:dyDescent="0.15">
      <c r="H972"/>
      <c r="I972"/>
    </row>
    <row r="973" spans="8:9" x14ac:dyDescent="0.15">
      <c r="H973"/>
      <c r="I973"/>
    </row>
    <row r="974" spans="8:9" x14ac:dyDescent="0.15">
      <c r="H974"/>
      <c r="I974"/>
    </row>
    <row r="975" spans="8:9" x14ac:dyDescent="0.15">
      <c r="H975"/>
      <c r="I975"/>
    </row>
    <row r="976" spans="8:9" x14ac:dyDescent="0.15">
      <c r="H976"/>
      <c r="I976"/>
    </row>
    <row r="977" spans="8:9" x14ac:dyDescent="0.15">
      <c r="H977"/>
      <c r="I977"/>
    </row>
    <row r="978" spans="8:9" x14ac:dyDescent="0.15">
      <c r="H978"/>
      <c r="I978"/>
    </row>
    <row r="979" spans="8:9" x14ac:dyDescent="0.15">
      <c r="H979"/>
      <c r="I979"/>
    </row>
    <row r="980" spans="8:9" x14ac:dyDescent="0.15">
      <c r="H980"/>
      <c r="I980"/>
    </row>
    <row r="981" spans="8:9" x14ac:dyDescent="0.15">
      <c r="H981"/>
      <c r="I981"/>
    </row>
    <row r="982" spans="8:9" x14ac:dyDescent="0.15">
      <c r="H982"/>
      <c r="I982"/>
    </row>
    <row r="983" spans="8:9" x14ac:dyDescent="0.15">
      <c r="H983"/>
      <c r="I983"/>
    </row>
    <row r="984" spans="8:9" x14ac:dyDescent="0.15">
      <c r="H984"/>
      <c r="I984"/>
    </row>
    <row r="985" spans="8:9" x14ac:dyDescent="0.15">
      <c r="H985"/>
      <c r="I985"/>
    </row>
    <row r="986" spans="8:9" x14ac:dyDescent="0.15">
      <c r="H986"/>
      <c r="I986"/>
    </row>
    <row r="987" spans="8:9" x14ac:dyDescent="0.15">
      <c r="H987"/>
      <c r="I987"/>
    </row>
    <row r="988" spans="8:9" x14ac:dyDescent="0.15">
      <c r="H988"/>
      <c r="I988"/>
    </row>
    <row r="989" spans="8:9" x14ac:dyDescent="0.15">
      <c r="H989"/>
      <c r="I989"/>
    </row>
    <row r="990" spans="8:9" x14ac:dyDescent="0.15">
      <c r="H990"/>
      <c r="I990"/>
    </row>
    <row r="991" spans="8:9" x14ac:dyDescent="0.15">
      <c r="H991"/>
      <c r="I991"/>
    </row>
    <row r="992" spans="8:9" x14ac:dyDescent="0.15">
      <c r="H992"/>
      <c r="I992"/>
    </row>
    <row r="993" spans="8:9" x14ac:dyDescent="0.15">
      <c r="H993"/>
      <c r="I993"/>
    </row>
    <row r="994" spans="8:9" x14ac:dyDescent="0.15">
      <c r="H994"/>
      <c r="I994"/>
    </row>
    <row r="995" spans="8:9" x14ac:dyDescent="0.15">
      <c r="H995"/>
      <c r="I995"/>
    </row>
    <row r="996" spans="8:9" x14ac:dyDescent="0.15">
      <c r="H996"/>
      <c r="I996"/>
    </row>
    <row r="997" spans="8:9" x14ac:dyDescent="0.15">
      <c r="H997"/>
      <c r="I997"/>
    </row>
    <row r="998" spans="8:9" x14ac:dyDescent="0.15">
      <c r="H998"/>
      <c r="I998"/>
    </row>
    <row r="999" spans="8:9" x14ac:dyDescent="0.15">
      <c r="H999"/>
      <c r="I999"/>
    </row>
    <row r="1000" spans="8:9" x14ac:dyDescent="0.15">
      <c r="H1000"/>
      <c r="I1000"/>
    </row>
    <row r="1001" spans="8:9" x14ac:dyDescent="0.15">
      <c r="H1001"/>
      <c r="I1001"/>
    </row>
    <row r="1002" spans="8:9" x14ac:dyDescent="0.15">
      <c r="H1002"/>
      <c r="I1002"/>
    </row>
    <row r="1003" spans="8:9" x14ac:dyDescent="0.15">
      <c r="H1003"/>
      <c r="I1003"/>
    </row>
  </sheetData>
  <mergeCells count="8">
    <mergeCell ref="P1:Q1"/>
    <mergeCell ref="F3:F4"/>
    <mergeCell ref="L3:L4"/>
    <mergeCell ref="F5:F6"/>
    <mergeCell ref="L5:L6"/>
    <mergeCell ref="M3:M8"/>
    <mergeCell ref="F7:F8"/>
    <mergeCell ref="L7:L8"/>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urperStructure_Result_Collation">
                <anchor moveWithCells="1" sizeWithCells="1">
                  <from>
                    <xdr:col>1</xdr:col>
                    <xdr:colOff>85725</xdr:colOff>
                    <xdr:row>5</xdr:row>
                    <xdr:rowOff>9525</xdr:rowOff>
                  </from>
                  <to>
                    <xdr:col>2</xdr:col>
                    <xdr:colOff>476250</xdr:colOff>
                    <xdr:row>8</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SurperStructure_Result_Collation">
                <anchor moveWithCells="1" sizeWithCells="1">
                  <from>
                    <xdr:col>1</xdr:col>
                    <xdr:colOff>85725</xdr:colOff>
                    <xdr:row>5</xdr:row>
                    <xdr:rowOff>9525</xdr:rowOff>
                  </from>
                  <to>
                    <xdr:col>2</xdr:col>
                    <xdr:colOff>476250</xdr:colOff>
                    <xdr:row>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R37"/>
  <sheetViews>
    <sheetView workbookViewId="0">
      <selection activeCell="N3" sqref="N3:N20"/>
    </sheetView>
  </sheetViews>
  <sheetFormatPr defaultRowHeight="13.5" x14ac:dyDescent="0.15"/>
  <cols>
    <col min="5" max="5" width="11.25" customWidth="1"/>
    <col min="8" max="8" width="13" customWidth="1"/>
    <col min="11" max="11" width="6.875" customWidth="1"/>
  </cols>
  <sheetData>
    <row r="1" spans="1:18" x14ac:dyDescent="0.15">
      <c r="G1" s="13"/>
      <c r="H1" s="13"/>
      <c r="I1" s="156" t="s">
        <v>306</v>
      </c>
      <c r="J1" s="156"/>
      <c r="K1" s="156"/>
      <c r="L1" s="156"/>
      <c r="M1" s="13"/>
      <c r="N1" s="13"/>
      <c r="O1" s="13"/>
      <c r="P1" s="156" t="s">
        <v>307</v>
      </c>
      <c r="Q1" s="156"/>
    </row>
    <row r="2" spans="1:18" ht="18" x14ac:dyDescent="0.15">
      <c r="G2" s="67" t="s">
        <v>398</v>
      </c>
      <c r="H2" s="61" t="s">
        <v>220</v>
      </c>
      <c r="I2" s="45" t="s">
        <v>397</v>
      </c>
      <c r="J2" s="68" t="s">
        <v>393</v>
      </c>
      <c r="K2" s="33" t="s">
        <v>394</v>
      </c>
      <c r="L2" s="69" t="s">
        <v>395</v>
      </c>
      <c r="M2" s="118" t="s">
        <v>313</v>
      </c>
      <c r="N2" s="81" t="s">
        <v>314</v>
      </c>
      <c r="O2" s="13"/>
      <c r="P2" s="15"/>
      <c r="Q2" s="15"/>
    </row>
    <row r="3" spans="1:18" x14ac:dyDescent="0.15">
      <c r="G3" s="159" t="s">
        <v>308</v>
      </c>
      <c r="H3" s="70" t="s">
        <v>439</v>
      </c>
      <c r="I3" s="82">
        <v>25</v>
      </c>
      <c r="J3" s="82">
        <v>18.639999999999997</v>
      </c>
      <c r="K3" s="85">
        <v>0.16666666666666666</v>
      </c>
      <c r="L3" s="82">
        <f>100-J3</f>
        <v>81.36</v>
      </c>
      <c r="M3" s="161">
        <f t="shared" ref="M3:M7" si="0">K3*L3+K4*L4+K5*L5+K6*L6+K7*L7</f>
        <v>90.226666666666659</v>
      </c>
      <c r="N3" s="165">
        <f t="shared" ref="N3:N20" si="1">AVERAGE(M3:M20)</f>
        <v>81.901232181327089</v>
      </c>
      <c r="O3" s="84">
        <f>MIN(L3:L20)</f>
        <v>40.5078125</v>
      </c>
      <c r="P3" s="76">
        <f>MIN(M3:M20)</f>
        <v>68.637841409271317</v>
      </c>
      <c r="Q3" s="13" t="str">
        <f>IF(P3&gt;=90,"完好",IF(P3&gt;=80,"良好",IF(P3&gt;=66,"合格",IF(P3&gt;=50,"不合格","危险"))))</f>
        <v>合格</v>
      </c>
      <c r="R3" s="13" t="str">
        <f>IF(P3&gt;=90,"A",IF(P3&gt;=80,"B",IF(P3&gt;=66,"C",IF(P3&gt;=50,"D","E"))))</f>
        <v>C</v>
      </c>
    </row>
    <row r="4" spans="1:18" x14ac:dyDescent="0.15">
      <c r="G4" s="160"/>
      <c r="H4" s="113" t="s">
        <v>440</v>
      </c>
      <c r="I4" s="82">
        <v>0</v>
      </c>
      <c r="J4" s="82">
        <v>0</v>
      </c>
      <c r="K4" s="85">
        <v>0.22222222222222224</v>
      </c>
      <c r="L4" s="82">
        <f t="shared" ref="L4:L7" si="2">100-J4</f>
        <v>100</v>
      </c>
      <c r="M4" s="162"/>
      <c r="N4" s="166"/>
      <c r="O4" s="13"/>
      <c r="P4" s="13"/>
      <c r="Q4" s="13"/>
    </row>
    <row r="5" spans="1:18" x14ac:dyDescent="0.15">
      <c r="G5" s="160"/>
      <c r="H5" s="113" t="s">
        <v>204</v>
      </c>
      <c r="I5" s="82">
        <v>0</v>
      </c>
      <c r="J5" s="82">
        <v>0</v>
      </c>
      <c r="K5" s="85">
        <v>0.16666666666666666</v>
      </c>
      <c r="L5" s="82">
        <f t="shared" si="2"/>
        <v>100</v>
      </c>
      <c r="M5" s="162"/>
      <c r="N5" s="166"/>
      <c r="O5" s="13"/>
      <c r="P5" s="13"/>
      <c r="Q5" s="13"/>
    </row>
    <row r="6" spans="1:18" x14ac:dyDescent="0.15">
      <c r="G6" s="160"/>
      <c r="H6" s="113" t="s">
        <v>406</v>
      </c>
      <c r="I6" s="82">
        <v>15</v>
      </c>
      <c r="J6" s="82">
        <v>15</v>
      </c>
      <c r="K6" s="85">
        <v>0.44444444444444448</v>
      </c>
      <c r="L6" s="82">
        <f t="shared" si="2"/>
        <v>85</v>
      </c>
      <c r="M6" s="162"/>
      <c r="N6" s="166"/>
      <c r="O6" s="13"/>
      <c r="P6" s="13"/>
      <c r="Q6" s="13"/>
    </row>
    <row r="7" spans="1:18" x14ac:dyDescent="0.15">
      <c r="G7" s="163"/>
      <c r="H7" s="113" t="s">
        <v>396</v>
      </c>
      <c r="I7" s="82">
        <v>0</v>
      </c>
      <c r="J7" s="82">
        <v>0</v>
      </c>
      <c r="K7" s="85"/>
      <c r="L7" s="82">
        <f t="shared" si="2"/>
        <v>100</v>
      </c>
      <c r="M7" s="164"/>
      <c r="N7" s="166"/>
      <c r="O7" s="13"/>
      <c r="P7" s="13"/>
      <c r="Q7" s="13"/>
    </row>
    <row r="8" spans="1:18" x14ac:dyDescent="0.15">
      <c r="G8" s="159" t="s">
        <v>451</v>
      </c>
      <c r="H8" s="70" t="s">
        <v>453</v>
      </c>
      <c r="I8" s="82">
        <v>78</v>
      </c>
      <c r="J8" s="82">
        <v>47.286084559753199</v>
      </c>
      <c r="K8" s="85">
        <v>0.15</v>
      </c>
      <c r="L8" s="82">
        <f>100-J8</f>
        <v>52.713915440246801</v>
      </c>
      <c r="M8" s="161">
        <f t="shared" ref="M8:M11" si="3">K8*L8+K9*L9+K10*L10+K11*L11</f>
        <v>77.907087316037021</v>
      </c>
      <c r="N8" s="166"/>
      <c r="O8" s="13"/>
      <c r="P8" s="13"/>
      <c r="Q8" s="13"/>
    </row>
    <row r="9" spans="1:18" ht="15" customHeight="1" x14ac:dyDescent="0.15">
      <c r="G9" s="160"/>
      <c r="H9" s="113" t="s">
        <v>449</v>
      </c>
      <c r="I9" s="82">
        <v>30</v>
      </c>
      <c r="J9" s="82">
        <v>30</v>
      </c>
      <c r="K9" s="85">
        <v>0.3</v>
      </c>
      <c r="L9" s="82">
        <f t="shared" ref="L9:L11" si="4">100-J9</f>
        <v>70</v>
      </c>
      <c r="M9" s="162"/>
      <c r="N9" s="166"/>
      <c r="O9" s="13"/>
      <c r="P9" s="13"/>
      <c r="Q9" s="13"/>
    </row>
    <row r="10" spans="1:18" x14ac:dyDescent="0.15">
      <c r="G10" s="160"/>
      <c r="H10" s="113" t="s">
        <v>204</v>
      </c>
      <c r="I10" s="82">
        <v>0</v>
      </c>
      <c r="J10" s="82">
        <v>0</v>
      </c>
      <c r="K10" s="85">
        <v>0.15</v>
      </c>
      <c r="L10" s="82">
        <f t="shared" si="4"/>
        <v>100</v>
      </c>
      <c r="M10" s="162"/>
      <c r="N10" s="166"/>
      <c r="O10" s="13"/>
      <c r="P10" s="13"/>
      <c r="Q10" s="13"/>
    </row>
    <row r="11" spans="1:18" x14ac:dyDescent="0.15">
      <c r="G11" s="163"/>
      <c r="H11" s="113" t="s">
        <v>206</v>
      </c>
      <c r="I11" s="82">
        <v>15</v>
      </c>
      <c r="J11" s="82">
        <v>15</v>
      </c>
      <c r="K11" s="85">
        <v>0.4</v>
      </c>
      <c r="L11" s="82">
        <f t="shared" si="4"/>
        <v>85</v>
      </c>
      <c r="M11" s="164"/>
      <c r="N11" s="166"/>
      <c r="O11" s="76">
        <f>N3</f>
        <v>81.901232181327089</v>
      </c>
      <c r="P11" s="13"/>
      <c r="Q11" s="13"/>
    </row>
    <row r="12" spans="1:18" x14ac:dyDescent="0.15">
      <c r="A12" s="13"/>
      <c r="B12" s="13"/>
      <c r="C12" s="13"/>
      <c r="D12" s="13"/>
      <c r="E12" s="13"/>
      <c r="F12" s="13"/>
      <c r="G12" s="159" t="s">
        <v>455</v>
      </c>
      <c r="H12" s="70" t="s">
        <v>454</v>
      </c>
      <c r="I12" s="82">
        <v>85</v>
      </c>
      <c r="J12" s="82">
        <v>50.096682271524529</v>
      </c>
      <c r="K12" s="85">
        <v>0.15</v>
      </c>
      <c r="L12" s="82">
        <f>100-J12</f>
        <v>49.903317728475471</v>
      </c>
      <c r="M12" s="161">
        <f t="shared" ref="M12:M15" si="5">K12*L12+K13*L13+K14*L14+K15*L15</f>
        <v>68.637841409271317</v>
      </c>
      <c r="N12" s="166"/>
      <c r="O12" s="13" t="str">
        <f>IF(N3&gt;=90,"完好",IF(N3&gt;=80,"良好",IF(N3&gt;=66,"合格",IF(N3&gt;=50,"不合格","危险"))))</f>
        <v>良好</v>
      </c>
      <c r="P12" s="13" t="str">
        <f>IF(O11&gt;=90,"A",IF(O11&gt;=80,"B",IF(O11&gt;=66,"C",IF(O11&gt;=50,"D","E"))))</f>
        <v>B</v>
      </c>
    </row>
    <row r="13" spans="1:18" x14ac:dyDescent="0.15">
      <c r="A13" s="16"/>
      <c r="B13" s="16"/>
      <c r="C13" s="13"/>
      <c r="D13" s="13"/>
      <c r="E13" s="13"/>
      <c r="F13" s="13"/>
      <c r="G13" s="160"/>
      <c r="H13" s="113" t="s">
        <v>444</v>
      </c>
      <c r="I13" s="82">
        <v>80</v>
      </c>
      <c r="J13" s="82">
        <v>59.4921875</v>
      </c>
      <c r="K13" s="85">
        <v>0.3</v>
      </c>
      <c r="L13" s="82">
        <f t="shared" ref="L13:L15" si="6">100-J13</f>
        <v>40.5078125</v>
      </c>
      <c r="M13" s="162"/>
      <c r="N13" s="166"/>
    </row>
    <row r="14" spans="1:18" x14ac:dyDescent="0.15">
      <c r="A14" s="170" t="s">
        <v>403</v>
      </c>
      <c r="B14" s="170"/>
      <c r="C14" s="170"/>
      <c r="D14" s="170"/>
      <c r="E14" s="72"/>
      <c r="F14" s="26"/>
      <c r="G14" s="160"/>
      <c r="H14" s="113" t="s">
        <v>204</v>
      </c>
      <c r="I14" s="82">
        <v>0</v>
      </c>
      <c r="J14" s="82">
        <v>0</v>
      </c>
      <c r="K14" s="85">
        <v>0.15</v>
      </c>
      <c r="L14" s="82">
        <f t="shared" si="6"/>
        <v>100</v>
      </c>
      <c r="M14" s="162"/>
      <c r="N14" s="166"/>
    </row>
    <row r="15" spans="1:18" x14ac:dyDescent="0.15">
      <c r="A15" s="49" t="s">
        <v>3</v>
      </c>
      <c r="B15" s="49" t="s">
        <v>125</v>
      </c>
      <c r="C15" s="49" t="s">
        <v>220</v>
      </c>
      <c r="D15" s="49" t="s">
        <v>301</v>
      </c>
      <c r="E15" s="86" t="s">
        <v>416</v>
      </c>
      <c r="F15" s="83"/>
      <c r="G15" s="163"/>
      <c r="H15" s="113" t="s">
        <v>206</v>
      </c>
      <c r="I15" s="82">
        <v>15</v>
      </c>
      <c r="J15" s="82">
        <v>15</v>
      </c>
      <c r="K15" s="85">
        <v>0.4</v>
      </c>
      <c r="L15" s="82">
        <f t="shared" si="6"/>
        <v>85</v>
      </c>
      <c r="M15" s="164"/>
      <c r="N15" s="166"/>
    </row>
    <row r="16" spans="1:18" x14ac:dyDescent="0.15">
      <c r="A16" s="153">
        <v>1</v>
      </c>
      <c r="B16" s="167" t="s">
        <v>312</v>
      </c>
      <c r="C16" s="49" t="s">
        <v>240</v>
      </c>
      <c r="D16" s="23">
        <v>0.15</v>
      </c>
      <c r="E16" s="87">
        <f>D16/0.9</f>
        <v>0.16666666666666666</v>
      </c>
      <c r="F16" s="83"/>
      <c r="G16" s="159" t="s">
        <v>452</v>
      </c>
      <c r="H16" s="70" t="s">
        <v>439</v>
      </c>
      <c r="I16" s="82">
        <v>15</v>
      </c>
      <c r="J16" s="82">
        <v>15</v>
      </c>
      <c r="K16" s="85">
        <v>0.16666666666666666</v>
      </c>
      <c r="L16" s="82">
        <f>100-J16</f>
        <v>85</v>
      </c>
      <c r="M16" s="161">
        <f t="shared" ref="M16:M20" si="7">K16*L16+K17*L17+K18*L18+K19*L19+K20*L20</f>
        <v>90.833333333333343</v>
      </c>
      <c r="N16" s="166"/>
    </row>
    <row r="17" spans="1:14" x14ac:dyDescent="0.15">
      <c r="A17" s="153"/>
      <c r="B17" s="168"/>
      <c r="C17" s="49" t="s">
        <v>241</v>
      </c>
      <c r="D17" s="23">
        <v>0.2</v>
      </c>
      <c r="E17" s="87">
        <f t="shared" ref="E17:E19" si="8">D17/0.9</f>
        <v>0.22222222222222224</v>
      </c>
      <c r="F17" s="83"/>
      <c r="G17" s="160"/>
      <c r="H17" s="113" t="s">
        <v>440</v>
      </c>
      <c r="I17" s="82">
        <v>0</v>
      </c>
      <c r="J17" s="82">
        <v>0</v>
      </c>
      <c r="K17" s="85">
        <v>0.22222222222222224</v>
      </c>
      <c r="L17" s="82">
        <f t="shared" ref="L17:L20" si="9">100-J17</f>
        <v>100</v>
      </c>
      <c r="M17" s="162"/>
      <c r="N17" s="166"/>
    </row>
    <row r="18" spans="1:14" x14ac:dyDescent="0.15">
      <c r="A18" s="153"/>
      <c r="B18" s="168"/>
      <c r="C18" s="49" t="s">
        <v>204</v>
      </c>
      <c r="D18" s="23">
        <v>0.15</v>
      </c>
      <c r="E18" s="87">
        <f t="shared" si="8"/>
        <v>0.16666666666666666</v>
      </c>
      <c r="F18" s="83"/>
      <c r="G18" s="160"/>
      <c r="H18" s="113" t="s">
        <v>204</v>
      </c>
      <c r="I18" s="82">
        <v>0</v>
      </c>
      <c r="J18" s="82">
        <v>0</v>
      </c>
      <c r="K18" s="85">
        <v>0.16666666666666666</v>
      </c>
      <c r="L18" s="82">
        <f t="shared" si="9"/>
        <v>100</v>
      </c>
      <c r="M18" s="162"/>
      <c r="N18" s="166"/>
    </row>
    <row r="19" spans="1:14" x14ac:dyDescent="0.15">
      <c r="A19" s="153"/>
      <c r="B19" s="168"/>
      <c r="C19" s="49" t="s">
        <v>192</v>
      </c>
      <c r="D19" s="23">
        <v>0.4</v>
      </c>
      <c r="E19" s="87">
        <f t="shared" si="8"/>
        <v>0.44444444444444448</v>
      </c>
      <c r="F19" s="83"/>
      <c r="G19" s="160"/>
      <c r="H19" s="113" t="s">
        <v>206</v>
      </c>
      <c r="I19" s="82">
        <v>15</v>
      </c>
      <c r="J19" s="82">
        <v>15</v>
      </c>
      <c r="K19" s="85">
        <v>0.44444444444444448</v>
      </c>
      <c r="L19" s="82">
        <f t="shared" si="9"/>
        <v>85</v>
      </c>
      <c r="M19" s="162"/>
      <c r="N19" s="166"/>
    </row>
    <row r="20" spans="1:14" x14ac:dyDescent="0.15">
      <c r="A20" s="153"/>
      <c r="B20" s="169"/>
      <c r="C20" s="49" t="s">
        <v>242</v>
      </c>
      <c r="D20" s="23">
        <v>0.1</v>
      </c>
      <c r="E20" s="87"/>
      <c r="F20" s="83"/>
      <c r="G20" s="163"/>
      <c r="H20" s="113" t="s">
        <v>396</v>
      </c>
      <c r="I20" s="82">
        <v>0</v>
      </c>
      <c r="J20" s="82">
        <v>0</v>
      </c>
      <c r="K20" s="85"/>
      <c r="L20" s="82">
        <f t="shared" si="9"/>
        <v>100</v>
      </c>
      <c r="M20" s="164"/>
      <c r="N20" s="166"/>
    </row>
    <row r="21" spans="1:14" x14ac:dyDescent="0.15">
      <c r="A21" s="153">
        <v>2</v>
      </c>
      <c r="B21" s="167" t="s">
        <v>311</v>
      </c>
      <c r="C21" s="49" t="s">
        <v>238</v>
      </c>
      <c r="D21" s="23">
        <v>0.15</v>
      </c>
      <c r="E21" s="87">
        <f>D21/1</f>
        <v>0.15</v>
      </c>
      <c r="F21" s="83"/>
    </row>
    <row r="22" spans="1:14" x14ac:dyDescent="0.15">
      <c r="A22" s="153"/>
      <c r="B22" s="168"/>
      <c r="C22" s="49" t="s">
        <v>239</v>
      </c>
      <c r="D22" s="23">
        <v>0.3</v>
      </c>
      <c r="E22" s="87">
        <f t="shared" ref="E22:E24" si="10">D22/1</f>
        <v>0.3</v>
      </c>
      <c r="F22" s="83"/>
    </row>
    <row r="23" spans="1:14" x14ac:dyDescent="0.15">
      <c r="A23" s="153"/>
      <c r="B23" s="168"/>
      <c r="C23" s="49" t="s">
        <v>204</v>
      </c>
      <c r="D23" s="23">
        <v>0.15</v>
      </c>
      <c r="E23" s="87">
        <f t="shared" si="10"/>
        <v>0.15</v>
      </c>
      <c r="F23" s="83"/>
    </row>
    <row r="24" spans="1:14" x14ac:dyDescent="0.15">
      <c r="A24" s="153"/>
      <c r="B24" s="169"/>
      <c r="C24" s="49" t="s">
        <v>192</v>
      </c>
      <c r="D24" s="23">
        <v>0.4</v>
      </c>
      <c r="E24" s="87">
        <f t="shared" si="10"/>
        <v>0.4</v>
      </c>
    </row>
    <row r="36" ht="14.25" customHeight="1" x14ac:dyDescent="0.15"/>
    <row r="37" ht="14.25" customHeight="1" x14ac:dyDescent="0.15"/>
  </sheetData>
  <mergeCells count="16">
    <mergeCell ref="G12:G15"/>
    <mergeCell ref="M12:M15"/>
    <mergeCell ref="B21:B24"/>
    <mergeCell ref="A14:D14"/>
    <mergeCell ref="A16:A20"/>
    <mergeCell ref="B16:B20"/>
    <mergeCell ref="A21:A24"/>
    <mergeCell ref="G16:G20"/>
    <mergeCell ref="M16:M20"/>
    <mergeCell ref="N3:N20"/>
    <mergeCell ref="G3:G7"/>
    <mergeCell ref="I1:L1"/>
    <mergeCell ref="P1:Q1"/>
    <mergeCell ref="M3:M7"/>
    <mergeCell ref="G8:G11"/>
    <mergeCell ref="M8:M11"/>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SubStructure_Result_Collation">
                <anchor moveWithCells="1" sizeWithCells="1">
                  <from>
                    <xdr:col>1</xdr:col>
                    <xdr:colOff>85725</xdr:colOff>
                    <xdr:row>6</xdr:row>
                    <xdr:rowOff>9525</xdr:rowOff>
                  </from>
                  <to>
                    <xdr:col>2</xdr:col>
                    <xdr:colOff>476250</xdr:colOff>
                    <xdr:row>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91"/>
  <sheetViews>
    <sheetView topLeftCell="B13" workbookViewId="0">
      <selection activeCell="J20" sqref="J20"/>
    </sheetView>
  </sheetViews>
  <sheetFormatPr defaultRowHeight="12" x14ac:dyDescent="0.15"/>
  <cols>
    <col min="1" max="1" width="9.375" style="16" customWidth="1"/>
    <col min="2" max="3" width="13.125" style="16" customWidth="1"/>
    <col min="4" max="4" width="12.25" style="16" customWidth="1"/>
    <col min="5" max="5" width="11" style="16" customWidth="1"/>
    <col min="6" max="6" width="13" style="16" customWidth="1"/>
    <col min="7" max="7" width="15.125" style="16" customWidth="1"/>
    <col min="8" max="8" width="13.75" style="16" customWidth="1"/>
    <col min="9" max="9" width="9.25" style="16" customWidth="1"/>
    <col min="10" max="10" width="11" style="16" customWidth="1"/>
    <col min="11" max="11" width="10.875" style="16" customWidth="1"/>
    <col min="12" max="12" width="10.25" style="16" customWidth="1"/>
    <col min="13" max="13" width="10.875" style="16" customWidth="1"/>
    <col min="14" max="14" width="9" style="16"/>
    <col min="15" max="15" width="9.625" style="16" customWidth="1"/>
    <col min="16" max="16" width="9.375" style="16" customWidth="1"/>
    <col min="17" max="16384" width="9" style="16"/>
  </cols>
  <sheetData>
    <row r="1" spans="1:14" ht="40.5" customHeight="1" thickBot="1" x14ac:dyDescent="0.2">
      <c r="B1" s="171" t="s">
        <v>287</v>
      </c>
      <c r="C1" s="171"/>
      <c r="D1" s="171"/>
      <c r="E1" s="171"/>
      <c r="F1" s="171"/>
      <c r="G1" s="171"/>
      <c r="I1" s="171" t="s">
        <v>315</v>
      </c>
      <c r="J1" s="171"/>
      <c r="K1" s="171"/>
      <c r="L1" s="171"/>
      <c r="M1" s="171"/>
      <c r="N1" s="171"/>
    </row>
    <row r="2" spans="1:14" ht="25.5" customHeight="1" thickBot="1" x14ac:dyDescent="0.2">
      <c r="B2" s="17" t="s">
        <v>256</v>
      </c>
      <c r="C2" s="17" t="s">
        <v>257</v>
      </c>
      <c r="D2" s="17" t="s">
        <v>258</v>
      </c>
      <c r="E2" s="17" t="s">
        <v>259</v>
      </c>
      <c r="F2" s="17" t="s">
        <v>260</v>
      </c>
      <c r="G2" s="17" t="s">
        <v>261</v>
      </c>
      <c r="I2" s="17" t="s">
        <v>316</v>
      </c>
      <c r="J2" s="17" t="s">
        <v>317</v>
      </c>
      <c r="K2" s="17" t="s">
        <v>318</v>
      </c>
      <c r="L2" s="17" t="s">
        <v>319</v>
      </c>
      <c r="M2" s="17" t="s">
        <v>320</v>
      </c>
      <c r="N2" s="17" t="s">
        <v>321</v>
      </c>
    </row>
    <row r="3" spans="1:14" ht="25.5" customHeight="1" thickTop="1" thickBot="1" x14ac:dyDescent="0.2">
      <c r="B3" s="18" t="s">
        <v>288</v>
      </c>
      <c r="C3" s="18" t="s">
        <v>289</v>
      </c>
      <c r="D3" s="18" t="s">
        <v>290</v>
      </c>
      <c r="E3" s="18" t="s">
        <v>291</v>
      </c>
      <c r="F3" s="18" t="s">
        <v>292</v>
      </c>
      <c r="G3" s="18" t="s">
        <v>293</v>
      </c>
      <c r="I3" s="18" t="s">
        <v>288</v>
      </c>
      <c r="J3" s="18" t="s">
        <v>289</v>
      </c>
      <c r="K3" s="18" t="s">
        <v>290</v>
      </c>
      <c r="L3" s="18" t="s">
        <v>291</v>
      </c>
      <c r="M3" s="18" t="s">
        <v>292</v>
      </c>
      <c r="N3" s="18" t="s">
        <v>293</v>
      </c>
    </row>
    <row r="4" spans="1:14" ht="25.5" customHeight="1" thickTop="1" thickBot="1" x14ac:dyDescent="0.2">
      <c r="B4" s="18" t="s">
        <v>294</v>
      </c>
      <c r="C4" s="19" t="s">
        <v>262</v>
      </c>
      <c r="D4" s="19" t="s">
        <v>263</v>
      </c>
      <c r="E4" s="19" t="s">
        <v>264</v>
      </c>
      <c r="F4" s="19" t="s">
        <v>265</v>
      </c>
      <c r="G4" s="19" t="s">
        <v>266</v>
      </c>
      <c r="I4" s="18" t="s">
        <v>294</v>
      </c>
      <c r="J4" s="19" t="s">
        <v>262</v>
      </c>
      <c r="K4" s="19" t="s">
        <v>263</v>
      </c>
      <c r="L4" s="19" t="s">
        <v>264</v>
      </c>
      <c r="M4" s="19" t="s">
        <v>265</v>
      </c>
      <c r="N4" s="19" t="s">
        <v>266</v>
      </c>
    </row>
    <row r="5" spans="1:14" ht="13.5" customHeight="1" x14ac:dyDescent="0.15">
      <c r="B5" s="20"/>
      <c r="C5" s="21"/>
      <c r="D5" s="21"/>
      <c r="E5" s="21"/>
      <c r="F5" s="21"/>
      <c r="G5" s="21"/>
    </row>
    <row r="6" spans="1:14" ht="45" customHeight="1" thickBot="1" x14ac:dyDescent="0.2">
      <c r="A6" s="170" t="s">
        <v>295</v>
      </c>
      <c r="B6" s="170"/>
      <c r="C6" s="170"/>
      <c r="D6" s="170"/>
      <c r="G6" s="170" t="s">
        <v>300</v>
      </c>
      <c r="H6" s="170"/>
    </row>
    <row r="7" spans="1:14" s="13" customFormat="1" ht="30.75" customHeight="1" thickTop="1" thickBot="1" x14ac:dyDescent="0.2">
      <c r="A7" s="22" t="s">
        <v>296</v>
      </c>
      <c r="B7" s="172" t="s">
        <v>0</v>
      </c>
      <c r="C7" s="173"/>
      <c r="D7" s="22" t="s">
        <v>301</v>
      </c>
      <c r="F7" s="174" t="s">
        <v>427</v>
      </c>
      <c r="G7" s="175"/>
      <c r="H7" s="175"/>
      <c r="I7" s="175"/>
      <c r="J7" s="176"/>
    </row>
    <row r="8" spans="1:14" s="13" customFormat="1" ht="30.75" customHeight="1" thickBot="1" x14ac:dyDescent="0.2">
      <c r="A8" s="22">
        <v>1</v>
      </c>
      <c r="B8" s="172" t="s">
        <v>297</v>
      </c>
      <c r="C8" s="173"/>
      <c r="D8" s="23">
        <v>0.15</v>
      </c>
      <c r="F8" s="100" t="s">
        <v>0</v>
      </c>
      <c r="G8" s="101" t="s">
        <v>428</v>
      </c>
      <c r="H8" s="101" t="s">
        <v>429</v>
      </c>
      <c r="I8" s="101" t="s">
        <v>430</v>
      </c>
      <c r="J8" s="102" t="s">
        <v>431</v>
      </c>
    </row>
    <row r="9" spans="1:14" s="13" customFormat="1" ht="27" customHeight="1" thickBot="1" x14ac:dyDescent="0.2">
      <c r="A9" s="22">
        <v>2</v>
      </c>
      <c r="B9" s="172" t="s">
        <v>1</v>
      </c>
      <c r="C9" s="173"/>
      <c r="D9" s="23">
        <v>0.4</v>
      </c>
      <c r="F9" s="100" t="s">
        <v>432</v>
      </c>
      <c r="G9" s="103">
        <v>0.15</v>
      </c>
      <c r="H9" s="104">
        <f>H20</f>
        <v>58.977045454545447</v>
      </c>
      <c r="I9" s="105">
        <f>J14</f>
        <v>32.291249999999991</v>
      </c>
      <c r="J9" s="177">
        <f>G9*H9+G10*H10+G11*H11</f>
        <v>77.519711299779004</v>
      </c>
    </row>
    <row r="10" spans="1:14" s="13" customFormat="1" ht="30" customHeight="1" thickBot="1" x14ac:dyDescent="0.2">
      <c r="A10" s="22">
        <v>3</v>
      </c>
      <c r="B10" s="172" t="s">
        <v>2</v>
      </c>
      <c r="C10" s="173"/>
      <c r="D10" s="23">
        <v>0.45</v>
      </c>
      <c r="F10" s="100" t="s">
        <v>433</v>
      </c>
      <c r="G10" s="103">
        <v>0.4</v>
      </c>
      <c r="H10" s="104">
        <f>上部结构汇总!M3</f>
        <v>79.543999999999997</v>
      </c>
      <c r="I10" s="105">
        <f>上部结构汇总!O3</f>
        <v>77.632000000000005</v>
      </c>
      <c r="J10" s="178"/>
    </row>
    <row r="11" spans="1:14" s="13" customFormat="1" ht="31.5" customHeight="1" thickBot="1" x14ac:dyDescent="0.2">
      <c r="A11" s="22" t="s">
        <v>298</v>
      </c>
      <c r="B11" s="172"/>
      <c r="C11" s="173"/>
      <c r="D11" s="22"/>
      <c r="F11" s="100" t="s">
        <v>434</v>
      </c>
      <c r="G11" s="103">
        <v>0.45</v>
      </c>
      <c r="H11" s="104">
        <f>下部结构汇总!N3</f>
        <v>81.901232181327089</v>
      </c>
      <c r="I11" s="105">
        <f>下部结构汇总!P3</f>
        <v>68.637841409271317</v>
      </c>
      <c r="J11" s="179"/>
      <c r="K11" s="13" t="str">
        <f>IF(J9&gt;=90,"完好",IF(J9&gt;=80,"良好",IF(J9&gt;=66,"合格",IF(J9&gt;=50,"不合格","危险"))))</f>
        <v>合格</v>
      </c>
      <c r="L11" s="13" t="str">
        <f>IF(J9&gt;=90,"A",IF(J9&gt;=80,"B",IF(J9&gt;=66,"C",IF(J9&gt;=50,"D","E"))))</f>
        <v>C</v>
      </c>
    </row>
    <row r="12" spans="1:14" s="13" customFormat="1" ht="26.25" customHeight="1" x14ac:dyDescent="0.15">
      <c r="A12" s="170" t="s">
        <v>299</v>
      </c>
      <c r="B12" s="170"/>
      <c r="C12" s="170"/>
      <c r="D12" s="170"/>
      <c r="E12" s="72"/>
      <c r="F12" s="111"/>
      <c r="G12" s="170" t="s">
        <v>304</v>
      </c>
      <c r="H12" s="170"/>
      <c r="J12" s="156" t="s">
        <v>305</v>
      </c>
      <c r="K12" s="156"/>
    </row>
    <row r="13" spans="1:14" s="13" customFormat="1" ht="33.75" customHeight="1" x14ac:dyDescent="0.15">
      <c r="A13" s="22" t="s">
        <v>296</v>
      </c>
      <c r="B13" s="172" t="s">
        <v>216</v>
      </c>
      <c r="C13" s="173"/>
      <c r="D13" s="22" t="s">
        <v>301</v>
      </c>
      <c r="E13" s="86" t="s">
        <v>416</v>
      </c>
      <c r="G13" s="22" t="s">
        <v>302</v>
      </c>
      <c r="H13" s="22" t="s">
        <v>303</v>
      </c>
      <c r="K13" s="15"/>
    </row>
    <row r="14" spans="1:14" s="13" customFormat="1" ht="33.75" customHeight="1" x14ac:dyDescent="0.15">
      <c r="A14" s="22">
        <v>1</v>
      </c>
      <c r="B14" s="172" t="s">
        <v>92</v>
      </c>
      <c r="C14" s="173"/>
      <c r="D14" s="23">
        <v>0.3</v>
      </c>
      <c r="E14" s="112">
        <f>D14/0.55</f>
        <v>0.54545454545454541</v>
      </c>
      <c r="G14" s="25">
        <f>'扣分-桥面系'!I70</f>
        <v>32.291249999999991</v>
      </c>
      <c r="H14" s="25">
        <f>E14*G14</f>
        <v>17.613409090909084</v>
      </c>
      <c r="J14" s="24">
        <f>MIN(G14:G19)</f>
        <v>32.291249999999991</v>
      </c>
      <c r="K14" s="13" t="str">
        <f>IF(J14&gt;=90,"完好",IF(J14&gt;=80,"良好",IF(J14&gt;=66,"合格",IF(J14&gt;=50,"不合格","危险"))))</f>
        <v>危险</v>
      </c>
      <c r="L14" s="13" t="str">
        <f>IF(J14&gt;=90,"A",IF(J14&gt;=80,"B",IF(J14&gt;=66,"C",IF(J14&gt;=50,"D","E"))))</f>
        <v>E</v>
      </c>
    </row>
    <row r="15" spans="1:14" s="13" customFormat="1" ht="33.75" customHeight="1" x14ac:dyDescent="0.15">
      <c r="A15" s="22">
        <v>2</v>
      </c>
      <c r="B15" s="172" t="s">
        <v>37</v>
      </c>
      <c r="C15" s="173"/>
      <c r="D15" s="23">
        <v>0.15</v>
      </c>
      <c r="E15" s="112">
        <f>D15/0.55</f>
        <v>0.27272727272727271</v>
      </c>
      <c r="G15" s="25">
        <f>'扣分-桥面系'!I75</f>
        <v>85</v>
      </c>
      <c r="H15" s="25">
        <f t="shared" ref="H15:H19" si="0">E15*G15</f>
        <v>23.18181818181818</v>
      </c>
    </row>
    <row r="16" spans="1:14" s="13" customFormat="1" ht="33.75" customHeight="1" x14ac:dyDescent="0.15">
      <c r="A16" s="22">
        <v>3</v>
      </c>
      <c r="B16" s="172" t="s">
        <v>217</v>
      </c>
      <c r="C16" s="173"/>
      <c r="D16" s="23">
        <v>0.25</v>
      </c>
      <c r="E16" s="112"/>
      <c r="G16" s="25">
        <f>'扣分-桥面系'!I87</f>
        <v>100</v>
      </c>
      <c r="H16" s="25">
        <f t="shared" si="0"/>
        <v>0</v>
      </c>
    </row>
    <row r="17" spans="1:10" s="13" customFormat="1" ht="33.75" customHeight="1" x14ac:dyDescent="0.15">
      <c r="A17" s="22">
        <v>4</v>
      </c>
      <c r="B17" s="172" t="s">
        <v>218</v>
      </c>
      <c r="C17" s="173"/>
      <c r="D17" s="23">
        <v>0.1</v>
      </c>
      <c r="E17" s="112"/>
      <c r="G17" s="25">
        <f>'扣分-桥面系'!I94</f>
        <v>100</v>
      </c>
      <c r="H17" s="25">
        <f t="shared" si="0"/>
        <v>0</v>
      </c>
    </row>
    <row r="18" spans="1:10" s="13" customFormat="1" ht="33.75" customHeight="1" x14ac:dyDescent="0.15">
      <c r="A18" s="22">
        <v>5</v>
      </c>
      <c r="B18" s="172" t="s">
        <v>111</v>
      </c>
      <c r="C18" s="173"/>
      <c r="D18" s="23">
        <v>0.1</v>
      </c>
      <c r="E18" s="112"/>
      <c r="G18" s="25">
        <f>'扣分-桥面系'!I100</f>
        <v>100</v>
      </c>
      <c r="H18" s="25">
        <f t="shared" si="0"/>
        <v>0</v>
      </c>
    </row>
    <row r="19" spans="1:10" s="13" customFormat="1" ht="33.75" customHeight="1" x14ac:dyDescent="0.15">
      <c r="A19" s="22">
        <v>6</v>
      </c>
      <c r="B19" s="172" t="s">
        <v>219</v>
      </c>
      <c r="C19" s="173"/>
      <c r="D19" s="23">
        <v>0.1</v>
      </c>
      <c r="E19" s="112">
        <f>D19/0.55</f>
        <v>0.18181818181818182</v>
      </c>
      <c r="G19" s="25">
        <f>'扣分-桥面系'!I106</f>
        <v>100</v>
      </c>
      <c r="H19" s="25">
        <f t="shared" si="0"/>
        <v>18.181818181818183</v>
      </c>
    </row>
    <row r="20" spans="1:10" s="13" customFormat="1" ht="33.75" customHeight="1" x14ac:dyDescent="0.15">
      <c r="A20" s="22" t="s">
        <v>298</v>
      </c>
      <c r="B20" s="172"/>
      <c r="C20" s="173"/>
      <c r="D20" s="22"/>
      <c r="E20" s="71">
        <f>SUM(E14:E19)</f>
        <v>1</v>
      </c>
      <c r="G20" s="22" t="s">
        <v>298</v>
      </c>
      <c r="H20" s="24">
        <f>SUM(H14:H19)</f>
        <v>58.977045454545447</v>
      </c>
      <c r="I20" s="13" t="str">
        <f>IF(H20&gt;=90,"完好",IF(H20&gt;=80,"良好",IF(H20&gt;=66,"合格",IF(H20&gt;=50,"不合格","危险"))))</f>
        <v>不合格</v>
      </c>
      <c r="J20" s="13" t="str">
        <f>IF(H20&gt;=90,"A",IF(H20&gt;=80,"B",IF(H20&gt;=66,"C",IF(H20&gt;=50,"D","E"))))</f>
        <v>D</v>
      </c>
    </row>
    <row r="21" spans="1:10" s="13" customFormat="1" ht="39.75" customHeight="1" thickBot="1" x14ac:dyDescent="0.2">
      <c r="A21" s="26"/>
      <c r="B21" s="26"/>
      <c r="C21" s="26"/>
      <c r="D21" s="26"/>
      <c r="F21" s="26"/>
      <c r="G21" s="27"/>
    </row>
    <row r="22" spans="1:10" s="13" customFormat="1" ht="39" customHeight="1" x14ac:dyDescent="0.15">
      <c r="C22" s="180" t="s">
        <v>417</v>
      </c>
      <c r="D22" s="181"/>
      <c r="E22" s="181"/>
      <c r="F22" s="181"/>
      <c r="G22" s="181"/>
      <c r="H22" s="181"/>
      <c r="I22" s="182"/>
    </row>
    <row r="23" spans="1:10" s="13" customFormat="1" ht="19.5" customHeight="1" x14ac:dyDescent="0.15">
      <c r="C23" s="90" t="s">
        <v>418</v>
      </c>
      <c r="D23" s="45" t="s">
        <v>419</v>
      </c>
      <c r="E23" s="33" t="s">
        <v>420</v>
      </c>
      <c r="F23" s="33" t="s">
        <v>421</v>
      </c>
      <c r="G23" s="33" t="s">
        <v>422</v>
      </c>
      <c r="H23" s="33" t="s">
        <v>423</v>
      </c>
      <c r="I23" s="91" t="s">
        <v>424</v>
      </c>
    </row>
    <row r="24" spans="1:10" s="13" customFormat="1" ht="19.5" customHeight="1" x14ac:dyDescent="0.15">
      <c r="C24" s="90" t="s">
        <v>92</v>
      </c>
      <c r="D24" s="33">
        <f>'扣分-桥面系'!E70</f>
        <v>100</v>
      </c>
      <c r="E24" s="97">
        <f>'扣分-桥面系'!H70</f>
        <v>67.708750000000009</v>
      </c>
      <c r="F24" s="92">
        <f>E14</f>
        <v>0.54545454545454541</v>
      </c>
      <c r="G24" s="96">
        <f>100-E24</f>
        <v>32.291249999999991</v>
      </c>
      <c r="H24" s="183">
        <f>H20</f>
        <v>58.977045454545447</v>
      </c>
      <c r="I24" s="186">
        <f>J14</f>
        <v>32.291249999999991</v>
      </c>
    </row>
    <row r="25" spans="1:10" s="13" customFormat="1" ht="19.5" customHeight="1" x14ac:dyDescent="0.15">
      <c r="C25" s="90" t="s">
        <v>37</v>
      </c>
      <c r="D25" s="33">
        <f>'扣分-桥面系'!E75</f>
        <v>15</v>
      </c>
      <c r="E25" s="97">
        <f>'扣分-桥面系'!H75</f>
        <v>15</v>
      </c>
      <c r="F25" s="92">
        <f t="shared" ref="F25:F29" si="1">E15</f>
        <v>0.27272727272727271</v>
      </c>
      <c r="G25" s="96">
        <f t="shared" ref="G25:G27" si="2">100-E25</f>
        <v>85</v>
      </c>
      <c r="H25" s="184"/>
      <c r="I25" s="187"/>
    </row>
    <row r="26" spans="1:10" s="13" customFormat="1" ht="19.5" customHeight="1" x14ac:dyDescent="0.15">
      <c r="C26" s="90" t="s">
        <v>217</v>
      </c>
      <c r="D26" s="33">
        <f>'扣分-桥面系'!E87</f>
        <v>0</v>
      </c>
      <c r="E26" s="97">
        <f>'扣分-桥面系'!H87</f>
        <v>0</v>
      </c>
      <c r="F26" s="92">
        <f t="shared" si="1"/>
        <v>0</v>
      </c>
      <c r="G26" s="96">
        <f t="shared" si="2"/>
        <v>100</v>
      </c>
      <c r="H26" s="184"/>
      <c r="I26" s="187"/>
    </row>
    <row r="27" spans="1:10" s="13" customFormat="1" ht="19.5" customHeight="1" x14ac:dyDescent="0.15">
      <c r="C27" s="90" t="s">
        <v>218</v>
      </c>
      <c r="D27" s="33">
        <f>'扣分-桥面系'!E94</f>
        <v>0</v>
      </c>
      <c r="E27" s="97">
        <f>'扣分-桥面系'!H94</f>
        <v>0</v>
      </c>
      <c r="F27" s="92">
        <f>E17</f>
        <v>0</v>
      </c>
      <c r="G27" s="96">
        <f t="shared" si="2"/>
        <v>100</v>
      </c>
      <c r="H27" s="184"/>
      <c r="I27" s="187"/>
    </row>
    <row r="28" spans="1:10" s="13" customFormat="1" ht="19.5" customHeight="1" x14ac:dyDescent="0.15">
      <c r="C28" s="90" t="s">
        <v>426</v>
      </c>
      <c r="D28" s="33">
        <f>'扣分-桥面系'!E100</f>
        <v>0</v>
      </c>
      <c r="E28" s="97">
        <f>'扣分-桥面系'!H100</f>
        <v>0</v>
      </c>
      <c r="F28" s="92">
        <f t="shared" si="1"/>
        <v>0</v>
      </c>
      <c r="G28" s="96">
        <f>100-E28</f>
        <v>100</v>
      </c>
      <c r="H28" s="184"/>
      <c r="I28" s="187"/>
    </row>
    <row r="29" spans="1:10" s="13" customFormat="1" ht="19.5" customHeight="1" thickBot="1" x14ac:dyDescent="0.2">
      <c r="C29" s="93" t="s">
        <v>425</v>
      </c>
      <c r="D29" s="94">
        <f>'扣分-桥面系'!E106</f>
        <v>0</v>
      </c>
      <c r="E29" s="98">
        <f>'扣分-桥面系'!H106</f>
        <v>0</v>
      </c>
      <c r="F29" s="95">
        <f t="shared" si="1"/>
        <v>0.18181818181818182</v>
      </c>
      <c r="G29" s="99">
        <f>100-E29</f>
        <v>100</v>
      </c>
      <c r="H29" s="185"/>
      <c r="I29" s="188"/>
    </row>
    <row r="30" spans="1:10" s="13" customFormat="1" ht="19.5" customHeight="1" x14ac:dyDescent="0.15"/>
    <row r="31" spans="1:10" s="13" customFormat="1" ht="19.5" customHeight="1" x14ac:dyDescent="0.15"/>
    <row r="32" spans="1:10" s="13" customFormat="1" ht="19.5" customHeight="1" x14ac:dyDescent="0.15"/>
    <row r="33" s="13" customFormat="1" ht="19.5" customHeight="1" x14ac:dyDescent="0.15"/>
    <row r="34" s="13" customFormat="1" ht="19.5" customHeight="1" x14ac:dyDescent="0.15"/>
    <row r="35" s="13" customFormat="1" ht="19.5" customHeight="1" x14ac:dyDescent="0.15"/>
    <row r="36" s="13" customFormat="1" ht="19.5" customHeight="1" x14ac:dyDescent="0.15"/>
    <row r="37" s="13" customFormat="1" ht="19.5" customHeight="1" x14ac:dyDescent="0.15"/>
    <row r="38" s="13" customFormat="1" ht="19.5" customHeight="1" x14ac:dyDescent="0.15"/>
    <row r="39" s="13" customFormat="1" ht="19.5" customHeight="1" x14ac:dyDescent="0.15"/>
    <row r="40" s="13" customFormat="1" ht="41.25" customHeight="1" x14ac:dyDescent="0.15"/>
    <row r="41" s="13" customFormat="1" ht="19.5" customHeight="1" x14ac:dyDescent="0.15"/>
    <row r="42" s="13" customFormat="1" ht="19.5" customHeight="1" x14ac:dyDescent="0.15"/>
    <row r="43" s="13" customFormat="1" ht="19.5" customHeight="1" x14ac:dyDescent="0.15"/>
    <row r="44" s="13" customFormat="1" ht="19.5" customHeight="1" x14ac:dyDescent="0.15"/>
    <row r="45" s="13" customFormat="1" ht="19.5" customHeight="1" x14ac:dyDescent="0.15"/>
    <row r="46" s="13" customFormat="1" ht="19.5" customHeight="1" x14ac:dyDescent="0.15"/>
    <row r="47" s="13" customFormat="1" ht="19.5" customHeight="1" x14ac:dyDescent="0.15"/>
    <row r="48" s="13" customFormat="1" ht="19.5" customHeight="1" x14ac:dyDescent="0.15"/>
    <row r="49" spans="1:15" s="13" customFormat="1" ht="19.5" customHeight="1" x14ac:dyDescent="0.15"/>
    <row r="50" spans="1:15" s="13" customFormat="1" ht="19.5" customHeight="1" x14ac:dyDescent="0.15"/>
    <row r="51" spans="1:15" s="13" customFormat="1" ht="19.5" customHeight="1" x14ac:dyDescent="0.15"/>
    <row r="52" spans="1:15" s="13" customFormat="1" ht="19.5" customHeight="1" x14ac:dyDescent="0.15"/>
    <row r="53" spans="1:15" s="13" customFormat="1" ht="19.5" customHeight="1" x14ac:dyDescent="0.15"/>
    <row r="54" spans="1:15" s="13" customFormat="1" ht="19.5" customHeight="1" x14ac:dyDescent="0.15"/>
    <row r="55" spans="1:15" x14ac:dyDescent="0.15">
      <c r="A55" s="13"/>
      <c r="B55" s="13"/>
      <c r="C55" s="13"/>
      <c r="D55" s="13"/>
      <c r="E55" s="13"/>
      <c r="F55" s="13"/>
      <c r="G55" s="13"/>
      <c r="H55" s="13"/>
      <c r="I55" s="13"/>
      <c r="J55" s="13"/>
      <c r="K55" s="13"/>
      <c r="L55" s="13"/>
      <c r="M55" s="13"/>
      <c r="N55" s="13"/>
      <c r="O55" s="13"/>
    </row>
    <row r="56" spans="1:15" x14ac:dyDescent="0.15">
      <c r="A56" s="13"/>
      <c r="B56" s="13"/>
      <c r="C56" s="13"/>
      <c r="D56" s="13"/>
      <c r="E56" s="13"/>
      <c r="F56" s="13"/>
      <c r="G56" s="13"/>
      <c r="H56" s="13"/>
      <c r="I56" s="13"/>
      <c r="J56" s="13"/>
      <c r="K56" s="13"/>
      <c r="L56" s="13"/>
      <c r="M56" s="13"/>
      <c r="N56" s="13"/>
      <c r="O56" s="13"/>
    </row>
    <row r="57" spans="1:15" x14ac:dyDescent="0.15">
      <c r="A57" s="13"/>
      <c r="B57" s="13"/>
      <c r="C57" s="13"/>
      <c r="D57" s="13"/>
      <c r="E57" s="13"/>
      <c r="F57" s="13"/>
      <c r="G57" s="13"/>
      <c r="H57" s="13"/>
      <c r="I57" s="13"/>
      <c r="J57" s="13"/>
      <c r="K57" s="13"/>
      <c r="L57" s="13"/>
      <c r="M57" s="13"/>
      <c r="N57" s="13"/>
      <c r="O57" s="13"/>
    </row>
    <row r="58" spans="1:15" x14ac:dyDescent="0.15">
      <c r="A58" s="13"/>
      <c r="B58" s="13"/>
      <c r="C58" s="13"/>
      <c r="D58" s="13"/>
      <c r="E58" s="13"/>
      <c r="F58" s="13"/>
      <c r="G58" s="13"/>
      <c r="H58" s="13"/>
      <c r="I58" s="13"/>
      <c r="J58" s="13"/>
      <c r="K58" s="13"/>
      <c r="L58" s="13"/>
      <c r="M58" s="13"/>
      <c r="N58" s="13"/>
      <c r="O58" s="13"/>
    </row>
    <row r="59" spans="1:15" x14ac:dyDescent="0.15">
      <c r="A59" s="13"/>
      <c r="B59" s="13"/>
      <c r="C59" s="13"/>
      <c r="D59" s="13"/>
      <c r="E59" s="13"/>
      <c r="F59" s="13"/>
      <c r="G59" s="13"/>
      <c r="H59" s="13"/>
      <c r="I59" s="13"/>
      <c r="J59" s="13"/>
      <c r="K59" s="13"/>
      <c r="L59" s="13"/>
      <c r="M59" s="13"/>
      <c r="N59" s="13"/>
      <c r="O59" s="13"/>
    </row>
    <row r="91" ht="13.5" customHeight="1" x14ac:dyDescent="0.15"/>
  </sheetData>
  <mergeCells count="25">
    <mergeCell ref="C22:I22"/>
    <mergeCell ref="H24:H29"/>
    <mergeCell ref="I24:I29"/>
    <mergeCell ref="B20:C20"/>
    <mergeCell ref="G6:H6"/>
    <mergeCell ref="B11:C11"/>
    <mergeCell ref="A6:D6"/>
    <mergeCell ref="A12:D12"/>
    <mergeCell ref="B8:C8"/>
    <mergeCell ref="B7:C7"/>
    <mergeCell ref="B9:C9"/>
    <mergeCell ref="B10:C10"/>
    <mergeCell ref="B15:C15"/>
    <mergeCell ref="B16:C16"/>
    <mergeCell ref="B17:C17"/>
    <mergeCell ref="B18:C18"/>
    <mergeCell ref="I1:N1"/>
    <mergeCell ref="B19:C19"/>
    <mergeCell ref="B13:C13"/>
    <mergeCell ref="B14:C14"/>
    <mergeCell ref="B1:G1"/>
    <mergeCell ref="G12:H12"/>
    <mergeCell ref="J12:K12"/>
    <mergeCell ref="F7:J7"/>
    <mergeCell ref="J9:J11"/>
  </mergeCells>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扣分-桥面系</vt:lpstr>
      <vt:lpstr>扣分-上部结构</vt:lpstr>
      <vt:lpstr>扣分-下部结构</vt:lpstr>
      <vt:lpstr>上部结构汇总</vt:lpstr>
      <vt:lpstr>下部结构汇总</vt:lpstr>
      <vt:lpstr>汇总</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2022-06-08T17:04:10Z</dcterms:modified>
</cp:coreProperties>
</file>