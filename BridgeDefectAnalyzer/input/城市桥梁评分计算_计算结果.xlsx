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Python_lk\Python\BridgeDefectAnalyzer\input\"/>
    </mc:Choice>
  </mc:AlternateContent>
  <xr:revisionPtr revIDLastSave="0" documentId="13_ncr:1_{697E4610-0ADF-4293-B326-5E5A18C3E70F}" xr6:coauthVersionLast="47" xr6:coauthVersionMax="47" xr10:uidLastSave="{00000000-0000-0000-0000-000000000000}"/>
  <workbookProtection workbookPassword="CACC" lockStructure="1"/>
  <bookViews>
    <workbookView xWindow="1140" yWindow="1140" windowWidth="16800" windowHeight="9760" tabRatio="742" activeTab="1" xr2:uid="{00000000-000D-0000-FFFF-FFFF00000000}"/>
  </bookViews>
  <sheets>
    <sheet name="整桥技术状况" sheetId="1" r:id="rId1"/>
    <sheet name="桥面系评分" sheetId="2" r:id="rId2"/>
    <sheet name="上部结构评分" sheetId="3" r:id="rId3"/>
    <sheet name="下部结构评分" sheetId="4" r:id="rId4"/>
    <sheet name="人行地下通道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5" l="1"/>
  <c r="N13" i="5" s="1"/>
  <c r="K12" i="5"/>
  <c r="N12" i="5" s="1"/>
  <c r="M11" i="5"/>
  <c r="K11" i="5"/>
  <c r="N11" i="5" s="1"/>
  <c r="C11" i="5" s="1"/>
  <c r="D11" i="5" s="1"/>
  <c r="N10" i="5"/>
  <c r="M10" i="5"/>
  <c r="C10" i="5"/>
  <c r="O10" i="5" s="1"/>
  <c r="N9" i="5"/>
  <c r="M9" i="5"/>
  <c r="C9" i="5"/>
  <c r="D9" i="5" s="1"/>
  <c r="K8" i="5"/>
  <c r="N8" i="5" s="1"/>
  <c r="M7" i="5"/>
  <c r="K7" i="5"/>
  <c r="N7" i="5" s="1"/>
  <c r="C7" i="5" s="1"/>
  <c r="K6" i="5"/>
  <c r="N6" i="5" s="1"/>
  <c r="M5" i="5"/>
  <c r="K5" i="5"/>
  <c r="N5" i="5" s="1"/>
  <c r="D42" i="4"/>
  <c r="E42" i="4" s="1"/>
  <c r="D41" i="4"/>
  <c r="D40" i="4"/>
  <c r="G41" i="4" s="1"/>
  <c r="D39" i="4"/>
  <c r="D38" i="4"/>
  <c r="E38" i="4" s="1"/>
  <c r="D37" i="4"/>
  <c r="D36" i="4"/>
  <c r="G37" i="4" s="1"/>
  <c r="D35" i="4"/>
  <c r="D34" i="4"/>
  <c r="E34" i="4" s="1"/>
  <c r="D33" i="4"/>
  <c r="D32" i="4"/>
  <c r="D31" i="4"/>
  <c r="D30" i="4"/>
  <c r="E30" i="4" s="1"/>
  <c r="D29" i="4"/>
  <c r="E28" i="4"/>
  <c r="F28" i="4" s="1"/>
  <c r="D28" i="4"/>
  <c r="D27" i="4"/>
  <c r="D26" i="4"/>
  <c r="E26" i="4" s="1"/>
  <c r="D25" i="4"/>
  <c r="D24" i="4"/>
  <c r="E24" i="4" s="1"/>
  <c r="F24" i="4" s="1"/>
  <c r="D23" i="4"/>
  <c r="D22" i="4"/>
  <c r="D21" i="4"/>
  <c r="E21" i="4" s="1"/>
  <c r="D20" i="4"/>
  <c r="D19" i="4"/>
  <c r="G24" i="4" s="1"/>
  <c r="D18" i="4"/>
  <c r="D17" i="4"/>
  <c r="E17" i="4" s="1"/>
  <c r="D16" i="4"/>
  <c r="D15" i="4"/>
  <c r="D14" i="4"/>
  <c r="D13" i="4"/>
  <c r="G15" i="4" s="1"/>
  <c r="D9" i="4"/>
  <c r="A9" i="4"/>
  <c r="Q6" i="4" s="1"/>
  <c r="G21" i="1" s="1"/>
  <c r="G7" i="4"/>
  <c r="G10" i="4" s="1"/>
  <c r="F7" i="4"/>
  <c r="F10" i="4" s="1"/>
  <c r="AN6" i="4"/>
  <c r="AM6" i="4"/>
  <c r="AL6" i="4"/>
  <c r="AK6" i="4"/>
  <c r="AJ6" i="4"/>
  <c r="AI6" i="4"/>
  <c r="AH6" i="4"/>
  <c r="AG6" i="4"/>
  <c r="AF6" i="4"/>
  <c r="AE6" i="4"/>
  <c r="T6" i="4"/>
  <c r="R6" i="4"/>
  <c r="O6" i="4"/>
  <c r="M6" i="4"/>
  <c r="D6" i="4"/>
  <c r="U6" i="4" s="1"/>
  <c r="F26" i="1" s="1"/>
  <c r="A6" i="4"/>
  <c r="P6" i="4" s="1"/>
  <c r="F21" i="1" s="1"/>
  <c r="AN5" i="4"/>
  <c r="AM5" i="4"/>
  <c r="AL5" i="4"/>
  <c r="AK5" i="4"/>
  <c r="AJ5" i="4"/>
  <c r="AI5" i="4"/>
  <c r="AH5" i="4"/>
  <c r="AG5" i="4"/>
  <c r="AF5" i="4"/>
  <c r="AE5" i="4"/>
  <c r="T5" i="4"/>
  <c r="R5" i="4"/>
  <c r="O5" i="4"/>
  <c r="M5" i="4"/>
  <c r="D5" i="4"/>
  <c r="U5" i="4" s="1"/>
  <c r="F25" i="1" s="1"/>
  <c r="A5" i="4"/>
  <c r="P5" i="4" s="1"/>
  <c r="F20" i="1" s="1"/>
  <c r="AN4" i="4"/>
  <c r="AM4" i="4"/>
  <c r="AL4" i="4"/>
  <c r="AK4" i="4"/>
  <c r="AJ4" i="4"/>
  <c r="AI4" i="4"/>
  <c r="AH4" i="4"/>
  <c r="AG4" i="4"/>
  <c r="AF4" i="4"/>
  <c r="AE4" i="4"/>
  <c r="T4" i="4"/>
  <c r="R4" i="4"/>
  <c r="O4" i="4"/>
  <c r="C7" i="4" s="1"/>
  <c r="C10" i="4" s="1"/>
  <c r="M4" i="4"/>
  <c r="D4" i="4"/>
  <c r="U4" i="4" s="1"/>
  <c r="F24" i="1" s="1"/>
  <c r="A4" i="4"/>
  <c r="P4" i="4" s="1"/>
  <c r="F19" i="1" s="1"/>
  <c r="AN3" i="4"/>
  <c r="AM3" i="4"/>
  <c r="AL3" i="4"/>
  <c r="AK3" i="4"/>
  <c r="AJ3" i="4"/>
  <c r="AI3" i="4"/>
  <c r="AH3" i="4"/>
  <c r="AG3" i="4"/>
  <c r="AF3" i="4"/>
  <c r="AE3" i="4"/>
  <c r="T3" i="4"/>
  <c r="R3" i="4"/>
  <c r="O3" i="4"/>
  <c r="M3" i="4"/>
  <c r="D3" i="4"/>
  <c r="U3" i="4" s="1"/>
  <c r="F23" i="1" s="1"/>
  <c r="A3" i="4"/>
  <c r="P3" i="4" s="1"/>
  <c r="F18" i="1" s="1"/>
  <c r="AN2" i="4"/>
  <c r="AM2" i="4"/>
  <c r="AL2" i="4"/>
  <c r="AK2" i="4"/>
  <c r="AJ2" i="4"/>
  <c r="AI2" i="4"/>
  <c r="AH2" i="4"/>
  <c r="AG2" i="4"/>
  <c r="AF2" i="4"/>
  <c r="AE2" i="4"/>
  <c r="T2" i="4"/>
  <c r="R2" i="4"/>
  <c r="P2" i="4"/>
  <c r="F17" i="1" s="1"/>
  <c r="O2" i="4"/>
  <c r="M2" i="4"/>
  <c r="D2" i="4"/>
  <c r="U2" i="4" s="1"/>
  <c r="F22" i="1" s="1"/>
  <c r="A2" i="4"/>
  <c r="D73" i="3"/>
  <c r="E73" i="3" s="1"/>
  <c r="D72" i="3"/>
  <c r="D71" i="3"/>
  <c r="E71" i="3" s="1"/>
  <c r="D70" i="3"/>
  <c r="G73" i="3" s="1"/>
  <c r="D69" i="3"/>
  <c r="E69" i="3" s="1"/>
  <c r="D68" i="3"/>
  <c r="D67" i="3"/>
  <c r="E67" i="3" s="1"/>
  <c r="D66" i="3"/>
  <c r="G65" i="3"/>
  <c r="E65" i="3"/>
  <c r="F65" i="3" s="1"/>
  <c r="D65" i="3"/>
  <c r="D64" i="3"/>
  <c r="D63" i="3"/>
  <c r="D62" i="3"/>
  <c r="E62" i="3" s="1"/>
  <c r="D61" i="3"/>
  <c r="D60" i="3"/>
  <c r="D59" i="3"/>
  <c r="D58" i="3"/>
  <c r="E58" i="3" s="1"/>
  <c r="G57" i="3"/>
  <c r="D57" i="3"/>
  <c r="D56" i="3"/>
  <c r="D55" i="3"/>
  <c r="D54" i="3"/>
  <c r="E54" i="3" s="1"/>
  <c r="D53" i="3"/>
  <c r="D52" i="3"/>
  <c r="E52" i="3" s="1"/>
  <c r="F52" i="3" s="1"/>
  <c r="D51" i="3"/>
  <c r="G56" i="3" s="1"/>
  <c r="D50" i="3"/>
  <c r="E50" i="3" s="1"/>
  <c r="D49" i="3"/>
  <c r="G48" i="3"/>
  <c r="E48" i="3"/>
  <c r="F48" i="3" s="1"/>
  <c r="D48" i="3"/>
  <c r="D47" i="3"/>
  <c r="D46" i="3"/>
  <c r="E46" i="3" s="1"/>
  <c r="D45" i="3"/>
  <c r="E44" i="3"/>
  <c r="F44" i="3" s="1"/>
  <c r="D44" i="3"/>
  <c r="D43" i="3"/>
  <c r="D42" i="3"/>
  <c r="D41" i="3"/>
  <c r="H41" i="3" s="1"/>
  <c r="E40" i="3"/>
  <c r="F40" i="3" s="1"/>
  <c r="D40" i="3"/>
  <c r="D39" i="3"/>
  <c r="E39" i="3" s="1"/>
  <c r="D38" i="3"/>
  <c r="D37" i="3"/>
  <c r="E37" i="3" s="1"/>
  <c r="D36" i="3"/>
  <c r="E35" i="3"/>
  <c r="F35" i="3" s="1"/>
  <c r="D35" i="3"/>
  <c r="D34" i="3"/>
  <c r="D33" i="3"/>
  <c r="D32" i="3"/>
  <c r="E32" i="3" s="1"/>
  <c r="D31" i="3"/>
  <c r="E30" i="3"/>
  <c r="F30" i="3" s="1"/>
  <c r="D30" i="3"/>
  <c r="D29" i="3"/>
  <c r="D28" i="3"/>
  <c r="E28" i="3" s="1"/>
  <c r="D27" i="3"/>
  <c r="D26" i="3"/>
  <c r="D25" i="3"/>
  <c r="D24" i="3"/>
  <c r="D23" i="3"/>
  <c r="E23" i="3" s="1"/>
  <c r="D22" i="3"/>
  <c r="D21" i="3"/>
  <c r="E21" i="3" s="1"/>
  <c r="D20" i="3"/>
  <c r="D19" i="3"/>
  <c r="D18" i="3"/>
  <c r="E17" i="3"/>
  <c r="F17" i="3" s="1"/>
  <c r="D17" i="3"/>
  <c r="D16" i="3"/>
  <c r="D15" i="3"/>
  <c r="D14" i="3"/>
  <c r="H14" i="3" s="1"/>
  <c r="A10" i="3"/>
  <c r="AH7" i="3"/>
  <c r="AG7" i="3"/>
  <c r="AF7" i="3"/>
  <c r="AE7" i="3"/>
  <c r="AD7" i="3"/>
  <c r="AC7" i="3"/>
  <c r="AB7" i="3"/>
  <c r="AA7" i="3"/>
  <c r="Z7" i="3"/>
  <c r="Y7" i="3"/>
  <c r="O7" i="3"/>
  <c r="N7" i="3"/>
  <c r="L7" i="3"/>
  <c r="A7" i="3"/>
  <c r="AH6" i="3"/>
  <c r="AG6" i="3"/>
  <c r="AF6" i="3"/>
  <c r="AE6" i="3"/>
  <c r="AD6" i="3"/>
  <c r="AC6" i="3"/>
  <c r="AB6" i="3"/>
  <c r="AA6" i="3"/>
  <c r="Z6" i="3"/>
  <c r="Y6" i="3"/>
  <c r="N6" i="3"/>
  <c r="L6" i="3"/>
  <c r="A6" i="3"/>
  <c r="O6" i="3" s="1"/>
  <c r="E15" i="1" s="1"/>
  <c r="AH5" i="3"/>
  <c r="AG5" i="3"/>
  <c r="AF5" i="3"/>
  <c r="AE5" i="3"/>
  <c r="AD5" i="3"/>
  <c r="AC5" i="3"/>
  <c r="AB5" i="3"/>
  <c r="AA5" i="3"/>
  <c r="Z5" i="3"/>
  <c r="Y5" i="3"/>
  <c r="N5" i="3"/>
  <c r="L5" i="3"/>
  <c r="A5" i="3"/>
  <c r="O5" i="3" s="1"/>
  <c r="E14" i="1" s="1"/>
  <c r="AH4" i="3"/>
  <c r="AG4" i="3"/>
  <c r="AF4" i="3"/>
  <c r="AE4" i="3"/>
  <c r="AD4" i="3"/>
  <c r="AC4" i="3"/>
  <c r="P4" i="3" s="1"/>
  <c r="G13" i="1" s="1"/>
  <c r="AB4" i="3"/>
  <c r="AA4" i="3"/>
  <c r="Z4" i="3"/>
  <c r="Y4" i="3"/>
  <c r="O4" i="3"/>
  <c r="E13" i="1" s="1"/>
  <c r="N4" i="3"/>
  <c r="L4" i="3"/>
  <c r="A4" i="3"/>
  <c r="AH3" i="3"/>
  <c r="AG3" i="3"/>
  <c r="AF3" i="3"/>
  <c r="AE3" i="3"/>
  <c r="AD3" i="3"/>
  <c r="AC3" i="3"/>
  <c r="AB3" i="3"/>
  <c r="AA3" i="3"/>
  <c r="P3" i="3" s="1"/>
  <c r="G12" i="1" s="1"/>
  <c r="Z3" i="3"/>
  <c r="Y3" i="3"/>
  <c r="N3" i="3"/>
  <c r="L3" i="3"/>
  <c r="A3" i="3"/>
  <c r="O3" i="3" s="1"/>
  <c r="E12" i="1" s="1"/>
  <c r="AH2" i="3"/>
  <c r="AG2" i="3"/>
  <c r="AF2" i="3"/>
  <c r="AE2" i="3"/>
  <c r="AD2" i="3"/>
  <c r="AC2" i="3"/>
  <c r="AB2" i="3"/>
  <c r="AA2" i="3"/>
  <c r="Z2" i="3"/>
  <c r="Y2" i="3"/>
  <c r="N2" i="3"/>
  <c r="K8" i="3" s="1"/>
  <c r="K11" i="3" s="1"/>
  <c r="L2" i="3"/>
  <c r="A2" i="3"/>
  <c r="O2" i="3" s="1"/>
  <c r="E11" i="1" s="1"/>
  <c r="A34" i="1"/>
  <c r="A33" i="1"/>
  <c r="H17" i="1"/>
  <c r="B32" i="1" s="1"/>
  <c r="E16" i="1"/>
  <c r="H11" i="1"/>
  <c r="B31" i="1" s="1"/>
  <c r="E10" i="1"/>
  <c r="E9" i="1"/>
  <c r="E8" i="1"/>
  <c r="E7" i="1"/>
  <c r="E6" i="1"/>
  <c r="H5" i="1"/>
  <c r="B30" i="1" s="1"/>
  <c r="E5" i="1"/>
  <c r="D40" i="2"/>
  <c r="D39" i="2"/>
  <c r="D38" i="2"/>
  <c r="H38" i="2" s="1"/>
  <c r="D37" i="2"/>
  <c r="G37" i="2" s="1"/>
  <c r="D36" i="2"/>
  <c r="G35" i="2"/>
  <c r="E35" i="2"/>
  <c r="F35" i="2" s="1"/>
  <c r="D35" i="2"/>
  <c r="D34" i="2"/>
  <c r="G33" i="2"/>
  <c r="D33" i="2"/>
  <c r="D32" i="2"/>
  <c r="D31" i="2"/>
  <c r="D30" i="2"/>
  <c r="D29" i="2"/>
  <c r="D28" i="2"/>
  <c r="D27" i="2"/>
  <c r="E27" i="2" s="1"/>
  <c r="D26" i="2"/>
  <c r="E26" i="2" s="1"/>
  <c r="F26" i="2" s="1"/>
  <c r="D25" i="2"/>
  <c r="D24" i="2"/>
  <c r="D23" i="2"/>
  <c r="H22" i="2"/>
  <c r="D22" i="2"/>
  <c r="D21" i="2"/>
  <c r="D20" i="2"/>
  <c r="G21" i="2" s="1"/>
  <c r="D19" i="2"/>
  <c r="D18" i="2"/>
  <c r="E18" i="2" s="1"/>
  <c r="F18" i="2" s="1"/>
  <c r="D17" i="2"/>
  <c r="D16" i="2"/>
  <c r="D15" i="2"/>
  <c r="D14" i="2"/>
  <c r="D13" i="2"/>
  <c r="E13" i="2" s="1"/>
  <c r="F13" i="2" s="1"/>
  <c r="D12" i="2"/>
  <c r="D11" i="2"/>
  <c r="D10" i="2"/>
  <c r="H10" i="2" s="1"/>
  <c r="F8" i="2"/>
  <c r="D8" i="2"/>
  <c r="F7" i="2"/>
  <c r="D7" i="2"/>
  <c r="F6" i="2"/>
  <c r="D6" i="2"/>
  <c r="F5" i="2"/>
  <c r="D5" i="2"/>
  <c r="F4" i="2"/>
  <c r="D4" i="2"/>
  <c r="F3" i="2"/>
  <c r="D3" i="2"/>
  <c r="E15" i="4" l="1"/>
  <c r="F15" i="4" s="1"/>
  <c r="G30" i="2"/>
  <c r="I8" i="3"/>
  <c r="I11" i="3" s="1"/>
  <c r="G25" i="3"/>
  <c r="E22" i="2"/>
  <c r="F22" i="2" s="1"/>
  <c r="E22" i="3"/>
  <c r="F22" i="3" s="1"/>
  <c r="G35" i="3"/>
  <c r="G22" i="2"/>
  <c r="G36" i="2"/>
  <c r="G22" i="3"/>
  <c r="L7" i="4"/>
  <c r="L10" i="4" s="1"/>
  <c r="E7" i="4"/>
  <c r="E10" i="4" s="1"/>
  <c r="H35" i="2"/>
  <c r="G27" i="3"/>
  <c r="G27" i="2"/>
  <c r="C8" i="3"/>
  <c r="C11" i="3" s="1"/>
  <c r="G52" i="3"/>
  <c r="V6" i="4"/>
  <c r="G26" i="1" s="1"/>
  <c r="G40" i="3"/>
  <c r="E70" i="3"/>
  <c r="F70" i="3" s="1"/>
  <c r="G36" i="3"/>
  <c r="G58" i="3"/>
  <c r="G70" i="3"/>
  <c r="O9" i="5"/>
  <c r="C5" i="5"/>
  <c r="G26" i="3"/>
  <c r="E26" i="3" s="1"/>
  <c r="F26" i="3" s="1"/>
  <c r="E57" i="3"/>
  <c r="F57" i="3" s="1"/>
  <c r="G33" i="4"/>
  <c r="G26" i="2"/>
  <c r="F8" i="3"/>
  <c r="F11" i="3" s="1"/>
  <c r="G34" i="2"/>
  <c r="G30" i="3"/>
  <c r="E31" i="2"/>
  <c r="F31" i="2" s="1"/>
  <c r="G25" i="4"/>
  <c r="G18" i="2"/>
  <c r="G31" i="2"/>
  <c r="G59" i="3"/>
  <c r="E8" i="3"/>
  <c r="E11" i="3" s="1"/>
  <c r="G28" i="4"/>
  <c r="G13" i="2"/>
  <c r="H31" i="2"/>
  <c r="H60" i="3"/>
  <c r="G20" i="3"/>
  <c r="P7" i="3"/>
  <c r="G16" i="1" s="1"/>
  <c r="G17" i="3"/>
  <c r="G44" i="3"/>
  <c r="G72" i="3"/>
  <c r="B7" i="4"/>
  <c r="B10" i="4" s="1"/>
  <c r="A10" i="4" s="1"/>
  <c r="B11" i="4" s="1"/>
  <c r="O5" i="5"/>
  <c r="D5" i="5"/>
  <c r="F36" i="2"/>
  <c r="F53" i="3"/>
  <c r="F68" i="3"/>
  <c r="O7" i="5"/>
  <c r="D7" i="5"/>
  <c r="F18" i="4"/>
  <c r="F40" i="2"/>
  <c r="O11" i="5"/>
  <c r="F23" i="2"/>
  <c r="F28" i="2"/>
  <c r="F32" i="2"/>
  <c r="F39" i="4"/>
  <c r="G14" i="2"/>
  <c r="G39" i="2"/>
  <c r="G41" i="3"/>
  <c r="E15" i="2"/>
  <c r="F15" i="2" s="1"/>
  <c r="E23" i="2"/>
  <c r="E28" i="2"/>
  <c r="E32" i="2"/>
  <c r="E36" i="2"/>
  <c r="E40" i="2"/>
  <c r="F23" i="3"/>
  <c r="I22" i="3" s="1"/>
  <c r="J22" i="3" s="1"/>
  <c r="K22" i="3" s="1"/>
  <c r="F28" i="3"/>
  <c r="F32" i="3"/>
  <c r="F37" i="3"/>
  <c r="F46" i="3"/>
  <c r="F50" i="3"/>
  <c r="F54" i="3"/>
  <c r="F58" i="3"/>
  <c r="F62" i="3"/>
  <c r="F67" i="3"/>
  <c r="F71" i="3"/>
  <c r="F17" i="4"/>
  <c r="F21" i="4"/>
  <c r="F26" i="4"/>
  <c r="F30" i="4"/>
  <c r="F34" i="4"/>
  <c r="F38" i="4"/>
  <c r="F42" i="4"/>
  <c r="G14" i="3"/>
  <c r="G31" i="3"/>
  <c r="G45" i="3"/>
  <c r="G53" i="3"/>
  <c r="G66" i="3"/>
  <c r="J7" i="4"/>
  <c r="J10" i="4" s="1"/>
  <c r="E20" i="2"/>
  <c r="F20" i="2" s="1"/>
  <c r="G15" i="2"/>
  <c r="G20" i="2"/>
  <c r="G23" i="2"/>
  <c r="G28" i="2"/>
  <c r="G32" i="2"/>
  <c r="G40" i="2"/>
  <c r="G19" i="3"/>
  <c r="E19" i="3" s="1"/>
  <c r="F19" i="3" s="1"/>
  <c r="G23" i="3"/>
  <c r="G28" i="3"/>
  <c r="G32" i="3"/>
  <c r="G37" i="3"/>
  <c r="G46" i="3"/>
  <c r="G50" i="3"/>
  <c r="G54" i="3"/>
  <c r="G62" i="3"/>
  <c r="G67" i="3"/>
  <c r="G71" i="3"/>
  <c r="G13" i="4"/>
  <c r="E13" i="4" s="1"/>
  <c r="F13" i="4" s="1"/>
  <c r="G17" i="4"/>
  <c r="G21" i="4"/>
  <c r="G26" i="4"/>
  <c r="G30" i="4"/>
  <c r="G34" i="4"/>
  <c r="G38" i="4"/>
  <c r="G42" i="4"/>
  <c r="E19" i="2"/>
  <c r="F19" i="2" s="1"/>
  <c r="F27" i="2"/>
  <c r="G10" i="2"/>
  <c r="G61" i="3"/>
  <c r="H20" i="2"/>
  <c r="H13" i="4"/>
  <c r="E11" i="2"/>
  <c r="F11" i="2" s="1"/>
  <c r="E16" i="2"/>
  <c r="F16" i="2" s="1"/>
  <c r="E24" i="2"/>
  <c r="F24" i="2" s="1"/>
  <c r="E29" i="2"/>
  <c r="F29" i="2" s="1"/>
  <c r="E33" i="2"/>
  <c r="F33" i="2" s="1"/>
  <c r="E37" i="2"/>
  <c r="F37" i="2" s="1"/>
  <c r="E15" i="3"/>
  <c r="F15" i="3" s="1"/>
  <c r="E20" i="3"/>
  <c r="F20" i="3" s="1"/>
  <c r="E24" i="3"/>
  <c r="F24" i="3" s="1"/>
  <c r="E33" i="3"/>
  <c r="F33" i="3" s="1"/>
  <c r="E38" i="3"/>
  <c r="F38" i="3" s="1"/>
  <c r="E42" i="3"/>
  <c r="F42" i="3" s="1"/>
  <c r="E51" i="3"/>
  <c r="F51" i="3" s="1"/>
  <c r="E55" i="3"/>
  <c r="F55" i="3" s="1"/>
  <c r="E59" i="3"/>
  <c r="F59" i="3" s="1"/>
  <c r="E68" i="3"/>
  <c r="E72" i="3"/>
  <c r="F72" i="3" s="1"/>
  <c r="E18" i="4"/>
  <c r="E35" i="4"/>
  <c r="F35" i="4" s="1"/>
  <c r="E39" i="4"/>
  <c r="H22" i="3"/>
  <c r="E14" i="2"/>
  <c r="F14" i="2" s="1"/>
  <c r="E39" i="2"/>
  <c r="F39" i="2" s="1"/>
  <c r="G19" i="2"/>
  <c r="G49" i="3"/>
  <c r="H28" i="3"/>
  <c r="H46" i="3"/>
  <c r="H26" i="4"/>
  <c r="P2" i="3"/>
  <c r="G11" i="1" s="1"/>
  <c r="P6" i="3"/>
  <c r="G15" i="1" s="1"/>
  <c r="E34" i="2"/>
  <c r="F34" i="2" s="1"/>
  <c r="E56" i="3"/>
  <c r="F56" i="3" s="1"/>
  <c r="E19" i="4"/>
  <c r="F19" i="4" s="1"/>
  <c r="E27" i="4"/>
  <c r="F27" i="4" s="1"/>
  <c r="E36" i="4"/>
  <c r="F36" i="4" s="1"/>
  <c r="E40" i="4"/>
  <c r="G11" i="2"/>
  <c r="G15" i="3"/>
  <c r="G33" i="3"/>
  <c r="G68" i="3"/>
  <c r="G18" i="4"/>
  <c r="G39" i="4"/>
  <c r="H51" i="3"/>
  <c r="E25" i="2"/>
  <c r="F25" i="2" s="1"/>
  <c r="E38" i="2"/>
  <c r="F38" i="2" s="1"/>
  <c r="E16" i="3"/>
  <c r="F16" i="3" s="1"/>
  <c r="E25" i="3"/>
  <c r="E29" i="3"/>
  <c r="F29" i="3" s="1"/>
  <c r="E34" i="3"/>
  <c r="F34" i="3" s="1"/>
  <c r="E43" i="3"/>
  <c r="F43" i="3" s="1"/>
  <c r="E47" i="3"/>
  <c r="F47" i="3" s="1"/>
  <c r="E64" i="3"/>
  <c r="F64" i="3" s="1"/>
  <c r="F21" i="3"/>
  <c r="F25" i="3"/>
  <c r="F39" i="3"/>
  <c r="F69" i="3"/>
  <c r="F73" i="3"/>
  <c r="F40" i="4"/>
  <c r="G24" i="2"/>
  <c r="G24" i="3"/>
  <c r="G38" i="3"/>
  <c r="G51" i="3"/>
  <c r="G63" i="3"/>
  <c r="E63" i="3" s="1"/>
  <c r="F63" i="3" s="1"/>
  <c r="G22" i="4"/>
  <c r="E22" i="4" s="1"/>
  <c r="F22" i="4" s="1"/>
  <c r="G35" i="4"/>
  <c r="D10" i="5"/>
  <c r="E17" i="2"/>
  <c r="F17" i="2" s="1"/>
  <c r="E21" i="2"/>
  <c r="F21" i="2" s="1"/>
  <c r="E30" i="2"/>
  <c r="F30" i="2" s="1"/>
  <c r="G12" i="2"/>
  <c r="E12" i="2" s="1"/>
  <c r="F12" i="2" s="1"/>
  <c r="G17" i="2"/>
  <c r="G25" i="2"/>
  <c r="G38" i="2"/>
  <c r="P5" i="3"/>
  <c r="G14" i="1" s="1"/>
  <c r="G16" i="3"/>
  <c r="G21" i="3"/>
  <c r="G29" i="3"/>
  <c r="G34" i="3"/>
  <c r="G39" i="3"/>
  <c r="G43" i="3"/>
  <c r="G47" i="3"/>
  <c r="G60" i="3"/>
  <c r="E60" i="3" s="1"/>
  <c r="F60" i="3" s="1"/>
  <c r="G64" i="3"/>
  <c r="G69" i="3"/>
  <c r="G14" i="4"/>
  <c r="E14" i="4" s="1"/>
  <c r="F14" i="4" s="1"/>
  <c r="G19" i="4"/>
  <c r="G23" i="4"/>
  <c r="E23" i="4" s="1"/>
  <c r="F23" i="4" s="1"/>
  <c r="G27" i="4"/>
  <c r="G32" i="4"/>
  <c r="E32" i="4" s="1"/>
  <c r="F32" i="4" s="1"/>
  <c r="G36" i="4"/>
  <c r="G40" i="4"/>
  <c r="G16" i="2"/>
  <c r="G29" i="2"/>
  <c r="G42" i="3"/>
  <c r="G55" i="3"/>
  <c r="G31" i="4"/>
  <c r="E31" i="4" s="1"/>
  <c r="F31" i="4" s="1"/>
  <c r="B8" i="3"/>
  <c r="B11" i="3" s="1"/>
  <c r="H19" i="4"/>
  <c r="H32" i="4"/>
  <c r="H36" i="4"/>
  <c r="H40" i="4"/>
  <c r="D8" i="3"/>
  <c r="D11" i="3" s="1"/>
  <c r="G8" i="3"/>
  <c r="G11" i="3" s="1"/>
  <c r="E14" i="3"/>
  <c r="F14" i="3" s="1"/>
  <c r="E18" i="3"/>
  <c r="F18" i="3" s="1"/>
  <c r="E27" i="3"/>
  <c r="F27" i="3" s="1"/>
  <c r="E31" i="3"/>
  <c r="F31" i="3" s="1"/>
  <c r="E36" i="3"/>
  <c r="F36" i="3" s="1"/>
  <c r="E41" i="3"/>
  <c r="E45" i="3"/>
  <c r="F45" i="3" s="1"/>
  <c r="E49" i="3"/>
  <c r="F49" i="3" s="1"/>
  <c r="E53" i="3"/>
  <c r="E61" i="3"/>
  <c r="F61" i="3" s="1"/>
  <c r="E66" i="3"/>
  <c r="F66" i="3" s="1"/>
  <c r="Q2" i="4"/>
  <c r="G17" i="1" s="1"/>
  <c r="Q3" i="4"/>
  <c r="G18" i="1" s="1"/>
  <c r="Q4" i="4"/>
  <c r="G19" i="1" s="1"/>
  <c r="Q5" i="4"/>
  <c r="G20" i="1" s="1"/>
  <c r="H7" i="4"/>
  <c r="H10" i="4" s="1"/>
  <c r="E16" i="4"/>
  <c r="F16" i="4" s="1"/>
  <c r="E20" i="4"/>
  <c r="F20" i="4" s="1"/>
  <c r="E25" i="4"/>
  <c r="F25" i="4" s="1"/>
  <c r="E29" i="4"/>
  <c r="F29" i="4" s="1"/>
  <c r="E33" i="4"/>
  <c r="F33" i="4" s="1"/>
  <c r="E37" i="4"/>
  <c r="F37" i="4" s="1"/>
  <c r="E41" i="4"/>
  <c r="F41" i="4" s="1"/>
  <c r="H8" i="3"/>
  <c r="H11" i="3" s="1"/>
  <c r="F41" i="3"/>
  <c r="I7" i="4"/>
  <c r="I10" i="4" s="1"/>
  <c r="E10" i="2"/>
  <c r="F10" i="2" s="1"/>
  <c r="G16" i="4"/>
  <c r="G20" i="4"/>
  <c r="G29" i="4"/>
  <c r="G18" i="3"/>
  <c r="J8" i="3"/>
  <c r="J11" i="3" s="1"/>
  <c r="K7" i="4"/>
  <c r="K10" i="4" s="1"/>
  <c r="V2" i="4"/>
  <c r="G22" i="1" s="1"/>
  <c r="V3" i="4"/>
  <c r="G23" i="1" s="1"/>
  <c r="V4" i="4"/>
  <c r="G24" i="1" s="1"/>
  <c r="V5" i="4"/>
  <c r="G25" i="1" s="1"/>
  <c r="D10" i="4" l="1"/>
  <c r="I36" i="4"/>
  <c r="J36" i="4" s="1"/>
  <c r="K36" i="4" s="1"/>
  <c r="I51" i="3"/>
  <c r="J51" i="3" s="1"/>
  <c r="K51" i="3" s="1"/>
  <c r="I38" i="2"/>
  <c r="J38" i="2" s="1"/>
  <c r="K38" i="2" s="1"/>
  <c r="C8" i="2" s="1"/>
  <c r="G10" i="1" s="1"/>
  <c r="I70" i="3"/>
  <c r="I35" i="2"/>
  <c r="J35" i="2" s="1"/>
  <c r="K35" i="2" s="1"/>
  <c r="C4" i="2" s="1"/>
  <c r="G6" i="1" s="1"/>
  <c r="H11" i="4"/>
  <c r="B17" i="1" s="1"/>
  <c r="E11" i="4"/>
  <c r="I10" i="2"/>
  <c r="J10" i="2" s="1"/>
  <c r="K10" i="2" s="1"/>
  <c r="C3" i="2" s="1"/>
  <c r="H57" i="3"/>
  <c r="I31" i="2"/>
  <c r="J31" i="2" s="1"/>
  <c r="K31" i="2" s="1"/>
  <c r="C6" i="2" s="1"/>
  <c r="G8" i="1" s="1"/>
  <c r="I60" i="3"/>
  <c r="J60" i="3" s="1"/>
  <c r="K60" i="3" s="1"/>
  <c r="I20" i="2"/>
  <c r="J20" i="2" s="1"/>
  <c r="K20" i="2" s="1"/>
  <c r="C7" i="2" s="1"/>
  <c r="G9" i="1" s="1"/>
  <c r="I22" i="2"/>
  <c r="J22" i="2" s="1"/>
  <c r="K22" i="2" s="1"/>
  <c r="C5" i="2" s="1"/>
  <c r="G7" i="1" s="1"/>
  <c r="I13" i="4"/>
  <c r="J13" i="4" s="1"/>
  <c r="K13" i="4" s="1"/>
  <c r="K11" i="4"/>
  <c r="B39" i="1" s="1"/>
  <c r="C39" i="1" s="1"/>
  <c r="I46" i="3"/>
  <c r="J46" i="3" s="1"/>
  <c r="K46" i="3" s="1"/>
  <c r="I57" i="3"/>
  <c r="J57" i="3" s="1"/>
  <c r="K57" i="3" s="1"/>
  <c r="I41" i="3"/>
  <c r="J41" i="3" s="1"/>
  <c r="K41" i="3" s="1"/>
  <c r="I14" i="3"/>
  <c r="J14" i="3" s="1"/>
  <c r="K14" i="3" s="1"/>
  <c r="I28" i="3"/>
  <c r="J28" i="3" s="1"/>
  <c r="K28" i="3" s="1"/>
  <c r="H70" i="3"/>
  <c r="J70" i="3" s="1"/>
  <c r="K70" i="3" s="1"/>
  <c r="I32" i="4"/>
  <c r="J32" i="4" s="1"/>
  <c r="K32" i="4" s="1"/>
  <c r="I26" i="4"/>
  <c r="J26" i="4" s="1"/>
  <c r="K26" i="4" s="1"/>
  <c r="I19" i="4"/>
  <c r="J19" i="4" s="1"/>
  <c r="K19" i="4" s="1"/>
  <c r="I40" i="4"/>
  <c r="J40" i="4" s="1"/>
  <c r="K40" i="4" s="1"/>
  <c r="E2" i="5"/>
  <c r="E3" i="5" s="1"/>
  <c r="G12" i="3"/>
  <c r="B38" i="1" s="1"/>
  <c r="C38" i="1" s="1"/>
  <c r="A11" i="3"/>
  <c r="B12" i="3" s="1"/>
  <c r="B11" i="1" s="1"/>
  <c r="G5" i="1" l="1"/>
  <c r="G3" i="2"/>
  <c r="B5" i="1" s="1"/>
  <c r="H3" i="2"/>
  <c r="B37" i="1" s="1"/>
  <c r="C37" i="1" s="1"/>
  <c r="C17" i="1"/>
  <c r="C32" i="1"/>
  <c r="C31" i="1"/>
  <c r="C11" i="1"/>
  <c r="D31" i="1" l="1"/>
  <c r="D11" i="1"/>
  <c r="D32" i="1"/>
  <c r="D17" i="1"/>
  <c r="C5" i="1"/>
  <c r="C30" i="1"/>
  <c r="A3" i="1"/>
  <c r="B33" i="1" l="1"/>
  <c r="D3" i="1"/>
  <c r="D5" i="1"/>
  <c r="D30" i="1"/>
  <c r="F3" i="1" l="1"/>
  <c r="B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J1" authorId="0" shapeId="0" xr:uid="{00000000-0006-0000-0000-000001000000}">
      <text>
        <r>
          <rPr>
            <sz val="11"/>
            <color theme="1"/>
            <rFont val="宋体"/>
            <charset val="134"/>
            <scheme val="minor"/>
          </rPr>
          <t xml:space="preserve">本次修订版本在原作者（暮暮）基础上进行修改，修改内容：
1、扣分全部为0时不能计算的BUG；
2、增加了扣分复选框自动扣分，节省评分时间。
3、增加了上部结构防落梁装置
       万事皆修行、（J、D）、ponder over
                          2018.12.5 于研创中心
4、增加了BSI评分表、及整体BCI评分表
                             万事皆修行
                          2018.12.6 于研创中心
5、修改了下部结构计算中的1处小错误
                           万事皆修行
                          2018.12.7 于研创中心
</t>
        </r>
      </text>
    </comment>
    <comment ref="J18" authorId="0" shapeId="0" xr:uid="{00000000-0006-0000-0000-000002000000}">
      <text>
        <r>
          <rPr>
            <sz val="11"/>
            <color theme="1"/>
            <rFont val="宋体"/>
            <charset val="134"/>
            <scheme val="minor"/>
          </rPr>
          <t>1：梁桥、悬臂+挂梁、刚构桥、桁架桥
2：拱桥
3：人行天桥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Q9" authorId="0" shapeId="0" xr:uid="{00000000-0006-0000-0100-000001000000}">
      <text>
        <r>
          <rPr>
            <sz val="11"/>
            <color theme="1"/>
            <rFont val="宋体"/>
            <charset val="134"/>
            <scheme val="minor"/>
          </rPr>
          <t>1：梁桥、悬臂+挂梁、刚构桥、桁架桥、拱桥
2：人行天桥</t>
        </r>
      </text>
    </comment>
    <comment ref="D10" authorId="0" shapeId="0" xr:uid="{00000000-0006-0000-0100-000002000000}">
      <text>
        <r>
          <rPr>
            <sz val="11"/>
            <color theme="1"/>
            <rFont val="宋体"/>
            <charset val="134"/>
            <scheme val="minor"/>
          </rPr>
          <t>网裂总面积/整桥面积
＜3%，  扣5；
3%~10%，扣10；
＞10%， 扣40。</t>
        </r>
      </text>
    </comment>
    <comment ref="D11" authorId="0" shapeId="0" xr:uid="{00000000-0006-0000-0100-000003000000}">
      <text>
        <r>
          <rPr>
            <sz val="11"/>
            <color theme="1"/>
            <rFont val="宋体"/>
            <charset val="134"/>
            <scheme val="minor"/>
          </rPr>
          <t>波浪和车辙总面积/整桥面积
＜3%，  扣5；
3%~10%，扣10；
＞10%， 扣40。</t>
        </r>
      </text>
    </comment>
    <comment ref="D12" authorId="0" shapeId="0" xr:uid="{00000000-0006-0000-0100-000004000000}">
      <text>
        <r>
          <rPr>
            <sz val="11"/>
            <color theme="1"/>
            <rFont val="宋体"/>
            <charset val="134"/>
            <scheme val="minor"/>
          </rPr>
          <t>坑槽总面积/整桥面积
＜3%，  扣20；
3%~5%， 扣40；
＞5%，  扣65。</t>
        </r>
      </text>
    </comment>
    <comment ref="D13" authorId="0" shapeId="0" xr:uid="{00000000-0006-0000-0100-000005000000}">
      <text>
        <r>
          <rPr>
            <sz val="11"/>
            <color theme="1"/>
            <rFont val="宋体"/>
            <charset val="134"/>
            <scheme val="minor"/>
          </rPr>
          <t>碎裂总面积/整桥面积
＜3%，  扣40；
3%~5%， 扣65；
＞5%，  扣80。</t>
        </r>
      </text>
    </comment>
    <comment ref="D14" authorId="0" shapeId="0" xr:uid="{00000000-0006-0000-0100-000006000000}">
      <text>
        <r>
          <rPr>
            <sz val="11"/>
            <color theme="1"/>
            <rFont val="宋体"/>
            <charset val="134"/>
            <scheme val="minor"/>
          </rPr>
          <t>洞穴数量
1个，  扣50；
2个，  扣65；
3个，  扣80。</t>
        </r>
      </text>
    </comment>
    <comment ref="D15" authorId="0" shapeId="0" xr:uid="{00000000-0006-0000-0100-000007000000}">
      <text>
        <r>
          <rPr>
            <sz val="11"/>
            <color theme="1"/>
            <rFont val="宋体"/>
            <charset val="134"/>
            <scheme val="minor"/>
          </rPr>
          <t>贯通程度：
无，     扣0；
半贯通， 扣5；
全贯通， 扣15。</t>
        </r>
      </text>
    </comment>
    <comment ref="D16" authorId="0" shapeId="0" xr:uid="{00000000-0006-0000-0100-000008000000}">
      <text>
        <r>
          <rPr>
            <sz val="11"/>
            <color theme="1"/>
            <rFont val="宋体"/>
            <charset val="134"/>
            <scheme val="minor"/>
          </rPr>
          <t>贯通程度：
无，     扣0；
半贯通， 扣5；
全贯通， 扣15。</t>
        </r>
      </text>
    </comment>
    <comment ref="D17" authorId="0" shapeId="0" xr:uid="{00000000-0006-0000-0100-000009000000}">
      <text>
        <r>
          <rPr>
            <sz val="11"/>
            <color theme="1"/>
            <rFont val="宋体"/>
            <charset val="134"/>
            <scheme val="minor"/>
          </rPr>
          <t>变形不平整面积/整桥面积
＜3%，  扣5；
3%~10%，扣15；
＞10%， 扣40。</t>
        </r>
      </text>
    </comment>
    <comment ref="D18" authorId="0" shapeId="0" xr:uid="{00000000-0006-0000-0100-00000A000000}">
      <text>
        <r>
          <rPr>
            <sz val="11"/>
            <color theme="1"/>
            <rFont val="宋体"/>
            <charset val="134"/>
            <scheme val="minor"/>
          </rPr>
          <t>材料磨损面积/整桥面积
＜3%，  扣5；
3%~10%，扣15；
＞10%， 扣30。</t>
        </r>
      </text>
    </comment>
    <comment ref="D19" authorId="0" shapeId="0" xr:uid="{00000000-0006-0000-0100-00000B000000}">
      <text>
        <r>
          <rPr>
            <sz val="11"/>
            <color theme="1"/>
            <rFont val="宋体"/>
            <charset val="134"/>
            <scheme val="minor"/>
          </rPr>
          <t>足够：0 ，良好
临界：40，有一定安全隐患
不足：* ，存在安全隐患</t>
        </r>
      </text>
    </comment>
    <comment ref="D20" authorId="0" shapeId="0" xr:uid="{00000000-0006-0000-0100-00000C000000}">
      <text>
        <r>
          <rPr>
            <sz val="11"/>
            <color theme="1"/>
            <rFont val="宋体"/>
            <charset val="134"/>
            <scheme val="minor"/>
          </rPr>
          <t>无：0，测不出高差
轻微：15，不超限
明显：40，超限</t>
        </r>
      </text>
    </comment>
    <comment ref="D21" authorId="0" shapeId="0" xr:uid="{00000000-0006-0000-0100-00000D000000}">
      <text>
        <r>
          <rPr>
            <sz val="11"/>
            <color theme="1"/>
            <rFont val="宋体"/>
            <charset val="134"/>
            <scheme val="minor"/>
          </rPr>
          <t>＜2cm：扣15
2~5cm：扣40
＞5cm：扣80</t>
        </r>
      </text>
    </comment>
    <comment ref="D22" authorId="0" shapeId="0" xr:uid="{00000000-0006-0000-0100-00000E000000}">
      <text>
        <r>
          <rPr>
            <sz val="11"/>
            <color theme="1"/>
            <rFont val="宋体"/>
            <charset val="134"/>
            <scheme val="minor"/>
          </rPr>
          <t>螺帽松动数量:
无：0
1~5个：15
＞5个：40</t>
        </r>
      </text>
    </comment>
    <comment ref="D23" authorId="0" shapeId="0" xr:uid="{00000000-0006-0000-0100-00000F000000}">
      <text>
        <r>
          <rPr>
            <sz val="11"/>
            <color theme="1"/>
            <rFont val="宋体"/>
            <charset val="134"/>
            <scheme val="minor"/>
          </rPr>
          <t>无：0
少量：5
严重：15</t>
        </r>
      </text>
    </comment>
    <comment ref="D24" authorId="0" shapeId="0" xr:uid="{00000000-0006-0000-0100-000010000000}">
      <text>
        <r>
          <rPr>
            <sz val="11"/>
            <color theme="1"/>
            <rFont val="宋体"/>
            <charset val="134"/>
            <scheme val="minor"/>
          </rPr>
          <t>无：0
轻微：15，破损长度＜缝长20%或少量橡胶老化
严重：40，破损长度＞缝长10%或橡胶失去弹性</t>
        </r>
      </text>
    </comment>
    <comment ref="D25" authorId="0" shapeId="0" xr:uid="{00000000-0006-0000-0100-000011000000}">
      <text>
        <r>
          <rPr>
            <sz val="11"/>
            <color theme="1"/>
            <rFont val="宋体"/>
            <charset val="134"/>
            <scheme val="minor"/>
          </rPr>
          <t>无：0
轻微：40，钢材料断裂
严重：65，钢材料残缺</t>
        </r>
      </text>
    </comment>
    <comment ref="D26" authorId="0" shapeId="0" xr:uid="{00000000-0006-0000-0100-000012000000}">
      <text>
        <r>
          <rPr>
            <sz val="11"/>
            <color theme="1"/>
            <rFont val="宋体"/>
            <charset val="134"/>
            <scheme val="minor"/>
          </rPr>
          <t>无：0
轻微：40,＜10个0.4㎡内、深度2cm内的破损
严重：65，＞10个或面积＞0.4㎡、深度＞2cm</t>
        </r>
      </text>
    </comment>
    <comment ref="D27" authorId="0" shapeId="0" xr:uid="{00000000-0006-0000-0100-000013000000}">
      <text>
        <r>
          <rPr>
            <sz val="11"/>
            <color theme="1"/>
            <rFont val="宋体"/>
            <charset val="134"/>
            <scheme val="minor"/>
          </rPr>
          <t>无：0     目测无
轻微：5   不超限
明显：15  超限</t>
        </r>
      </text>
    </comment>
    <comment ref="D28" authorId="0" shapeId="0" xr:uid="{00000000-0006-0000-0100-000014000000}">
      <text>
        <r>
          <rPr>
            <sz val="11"/>
            <color theme="1"/>
            <rFont val="宋体"/>
            <charset val="134"/>
            <scheme val="minor"/>
          </rPr>
          <t xml:space="preserve">无：0
轻微：15  ≤1cm变形
严重：40  ＞1cm变形
</t>
        </r>
      </text>
    </comment>
    <comment ref="D29" authorId="0" shapeId="0" xr:uid="{00000000-0006-0000-0100-000015000000}">
      <text>
        <r>
          <rPr>
            <sz val="11"/>
            <color theme="1"/>
            <rFont val="宋体"/>
            <charset val="134"/>
            <scheme val="minor"/>
          </rPr>
          <t>正常：0，设计预留缝宽
略有变化：15，相对设计预留缝宽有＞2cm变化
卡    死：65，几乎为零</t>
        </r>
      </text>
    </comment>
    <comment ref="D30" authorId="0" shapeId="0" xr:uid="{00000000-0006-0000-0100-000016000000}">
      <text>
        <r>
          <rPr>
            <sz val="11"/>
            <color theme="1"/>
            <rFont val="宋体"/>
            <charset val="134"/>
            <scheme val="minor"/>
          </rPr>
          <t>无：0，   车辆经过无声音
轻微：10，不太明显声响
严重：30，明显异常声响</t>
        </r>
      </text>
    </comment>
    <comment ref="D31" authorId="0" shapeId="0" xr:uid="{00000000-0006-0000-0100-000017000000}">
      <text>
        <r>
          <rPr>
            <sz val="11"/>
            <color theme="1"/>
            <rFont val="宋体"/>
            <charset val="134"/>
            <scheme val="minor"/>
          </rPr>
          <t>阻塞管数/总管数
＜5%，  扣10；
5%~20%，扣40；
＞20%， 扣80。</t>
        </r>
      </text>
    </comment>
    <comment ref="D32" authorId="0" shapeId="0" xr:uid="{00000000-0006-0000-0100-000018000000}">
      <text>
        <r>
          <rPr>
            <sz val="11"/>
            <color theme="1"/>
            <rFont val="宋体"/>
            <charset val="134"/>
            <scheme val="minor"/>
          </rPr>
          <t>脱落设施/总设施
＜5%，  扣10；
5%~20%，扣20；
＞20%， 扣40。</t>
        </r>
      </text>
    </comment>
    <comment ref="D33" authorId="0" shapeId="0" xr:uid="{00000000-0006-0000-0100-000019000000}">
      <text>
        <r>
          <rPr>
            <sz val="11"/>
            <color theme="1"/>
            <rFont val="宋体"/>
            <charset val="134"/>
            <scheme val="minor"/>
          </rPr>
          <t>无：0
个别处：45
多  处：65</t>
        </r>
      </text>
    </comment>
    <comment ref="D34" authorId="0" shapeId="0" xr:uid="{00000000-0006-0000-0100-00001A000000}">
      <text>
        <r>
          <rPr>
            <sz val="11"/>
            <color theme="1"/>
            <rFont val="宋体"/>
            <charset val="134"/>
            <scheme val="minor"/>
          </rPr>
          <t>完好：0    不渗水
渗水：30   轻微渗水
老化：65   严重渗水</t>
        </r>
      </text>
    </comment>
    <comment ref="D35" authorId="0" shapeId="0" xr:uid="{00000000-0006-0000-0100-00001B000000}">
      <text>
        <r>
          <rPr>
            <sz val="11"/>
            <color theme="1"/>
            <rFont val="宋体"/>
            <charset val="134"/>
            <scheme val="minor"/>
          </rPr>
          <t>锈蚀构件数/总护栏数：
  ＜5%：10
5%~20%：20
 ＞20%：40</t>
        </r>
      </text>
    </comment>
    <comment ref="D36" authorId="0" shapeId="0" xr:uid="{00000000-0006-0000-0100-00001C000000}">
      <text>
        <r>
          <rPr>
            <sz val="11"/>
            <color theme="1"/>
            <rFont val="宋体"/>
            <charset val="134"/>
            <scheme val="minor"/>
          </rPr>
          <t>轻微：10，个别构件松动
中等：30，＜20%构件松动或错位，影响美观及一定安全隐患
严重：* ，＞20%构件松动或错位，影响美观及严重安全隐患</t>
        </r>
      </text>
    </comment>
    <comment ref="D37" authorId="0" shapeId="0" xr:uid="{00000000-0006-0000-0100-00001D000000}">
      <text>
        <r>
          <rPr>
            <sz val="11"/>
            <color theme="1"/>
            <rFont val="宋体"/>
            <charset val="134"/>
            <scheme val="minor"/>
          </rPr>
          <t>轻微：10，个别构件残缺或丢失
中等：30，＜20%构件残缺或丢失，影响美观及一定安全隐患
严重：* ，＞20%构件残缺或丢失，影响美观及严重安全隐患</t>
        </r>
      </text>
    </comment>
    <comment ref="D38" authorId="0" shapeId="0" xr:uid="{00000000-0006-0000-0100-00001E000000}">
      <text>
        <r>
          <rPr>
            <sz val="11"/>
            <color theme="1"/>
            <rFont val="宋体"/>
            <charset val="134"/>
            <scheme val="minor"/>
          </rPr>
          <t>网裂总面积/人行道面积
  ＜10%：15
10%~20%：30
  ＞20%：50</t>
        </r>
      </text>
    </comment>
    <comment ref="D39" authorId="0" shapeId="0" xr:uid="{00000000-0006-0000-0100-00001F000000}">
      <text>
        <r>
          <rPr>
            <sz val="11"/>
            <color theme="1"/>
            <rFont val="宋体"/>
            <charset val="134"/>
            <scheme val="minor"/>
          </rPr>
          <t>松动或变形总面积/人行道面积
  ＜5%：15
5%~10%：25
 ＞10%：40</t>
        </r>
      </text>
    </comment>
    <comment ref="D40" authorId="0" shapeId="0" xr:uid="{00000000-0006-0000-0100-000020000000}">
      <text>
        <r>
          <rPr>
            <sz val="11"/>
            <color theme="1"/>
            <rFont val="宋体"/>
            <charset val="134"/>
            <scheme val="minor"/>
          </rPr>
          <t>残缺总面积/人行道面积
  ＜5%：15
5%~10%：30
 ＞10%：50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L12" authorId="0" shapeId="0" xr:uid="{00000000-0006-0000-0200-000001000000}">
      <text>
        <r>
          <rPr>
            <sz val="11"/>
            <color theme="1"/>
            <rFont val="宋体"/>
            <charset val="134"/>
            <scheme val="minor"/>
          </rPr>
          <t>作者:
1：梁桥
2：悬臂+挂梁
3：刚构桥
4：桁架桥
5：拱桥（无拱上构造）
6：拱桥（有拱上构造）
7：人行天桥（梁桥）
8：人行天桥（钢桁架桥）</t>
        </r>
      </text>
    </comment>
    <comment ref="D14" authorId="0" shapeId="0" xr:uid="{00000000-0006-0000-0200-000002000000}">
      <text>
        <r>
          <rPr>
            <sz val="11"/>
            <color theme="1"/>
            <rFont val="宋体"/>
            <charset val="134"/>
            <scheme val="minor"/>
          </rPr>
          <t>表面裂缝总面积/整个梁底表面积:
  ＜3%：10
3%~10%：25
 ＞10%：40
定义：梁表面出现细微不规则裂缝。</t>
        </r>
      </text>
    </comment>
    <comment ref="D15" authorId="0" shapeId="0" xr:uid="{00000000-0006-0000-0200-000003000000}">
      <text>
        <r>
          <rPr>
            <sz val="11"/>
            <color theme="1"/>
            <rFont val="宋体"/>
            <charset val="134"/>
            <scheme val="minor"/>
          </rPr>
          <t>混凝土剥离总面积/整个梁底表面积:
  ＜1%：10
1%~2%：25
 ＞2%：40
定义：梁表面混凝土破损剥落。</t>
        </r>
      </text>
    </comment>
    <comment ref="D16" authorId="0" shapeId="0" xr:uid="{00000000-0006-0000-0200-000004000000}">
      <text>
        <r>
          <rPr>
            <sz val="11"/>
            <color theme="1"/>
            <rFont val="宋体"/>
            <charset val="134"/>
            <scheme val="minor"/>
          </rPr>
          <t>露筋锈蚀总面积/整个梁底表面积:
  ＜1%：20
1%~2%：40
 ＞2%：80 *
定义：梁表面混凝土剥落后露出内嵌的钢筋并且钢筋锈蚀。</t>
        </r>
      </text>
    </comment>
    <comment ref="D17" authorId="0" shapeId="0" xr:uid="{00000000-0006-0000-0200-000005000000}">
      <text>
        <r>
          <rPr>
            <sz val="11"/>
            <color theme="1"/>
            <rFont val="宋体"/>
            <charset val="134"/>
            <scheme val="minor"/>
          </rPr>
          <t>梁体下挠情况:
  无：0
轻微：40
明显：80 *
定义：梁体下挠弯曲。</t>
        </r>
      </text>
    </comment>
    <comment ref="D18" authorId="0" shapeId="0" xr:uid="{00000000-0006-0000-0200-000006000000}">
      <text>
        <r>
          <rPr>
            <sz val="11"/>
            <color theme="1"/>
            <rFont val="宋体"/>
            <charset val="134"/>
            <scheme val="minor"/>
          </rPr>
          <t xml:space="preserve">  无：0
明显：35，不超允许值
严重：80* ，超允许值
</t>
        </r>
      </text>
    </comment>
    <comment ref="D19" authorId="0" shapeId="0" xr:uid="{00000000-0006-0000-0200-000007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轻微：15，渗水痕迹面积不大且不明显
严重：40</t>
        </r>
      </text>
    </comment>
    <comment ref="D20" authorId="0" shapeId="0" xr:uid="{00000000-0006-0000-0200-000008000000}">
      <text>
        <r>
          <rPr>
            <sz val="11"/>
            <color theme="1"/>
            <rFont val="宋体"/>
            <charset val="134"/>
            <scheme val="minor"/>
          </rPr>
          <t xml:space="preserve">    无：0
非贯通：25
贯  通：30
</t>
        </r>
      </text>
    </comment>
    <comment ref="D21" authorId="0" shapeId="0" xr:uid="{00000000-0006-0000-0200-000009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轻微：40，水平偏移或转动。
明显：* ，存在落梁或倾覆风险。
</t>
        </r>
      </text>
    </comment>
    <comment ref="D22" authorId="0" shapeId="0" xr:uid="{00000000-0006-0000-0200-00000A000000}">
      <text>
        <r>
          <rPr>
            <sz val="11"/>
            <color theme="1"/>
            <rFont val="宋体"/>
            <charset val="134"/>
            <scheme val="minor"/>
          </rPr>
          <t xml:space="preserve">    无：0
非贯通：25
贯  通：45</t>
        </r>
      </text>
    </comment>
    <comment ref="D23" authorId="0" shapeId="0" xr:uid="{00000000-0006-0000-0200-00000B000000}">
      <text>
        <r>
          <rPr>
            <sz val="11"/>
            <color theme="1"/>
            <rFont val="宋体"/>
            <charset val="134"/>
            <scheme val="minor"/>
          </rPr>
          <t>松动连接件个数/连接件总数:
  ＜5%：10
5%~10%：15
 ＞10%：30</t>
        </r>
      </text>
    </comment>
    <comment ref="D24" authorId="0" shapeId="0" xr:uid="{00000000-0006-0000-0200-00000C000000}">
      <text>
        <r>
          <rPr>
            <sz val="11"/>
            <color theme="1"/>
            <rFont val="宋体"/>
            <charset val="134"/>
            <scheme val="minor"/>
          </rPr>
          <t>断裂连接件个数/连接件总数:
  ＜5%：15
5%~10%：30
 ＞10%：55</t>
        </r>
      </text>
    </comment>
    <comment ref="D25" authorId="0" shapeId="0" xr:uid="{00000000-0006-0000-0200-00000D000000}">
      <text>
        <r>
          <rPr>
            <sz val="11"/>
            <color theme="1"/>
            <rFont val="宋体"/>
            <charset val="134"/>
            <scheme val="minor"/>
          </rPr>
          <t>网裂总面积/横隔板表面积总数:
  ＜10%：15
10%~20%：25
  ＞20%：35</t>
        </r>
      </text>
    </comment>
    <comment ref="D26" authorId="0" shapeId="0" xr:uid="{00000000-0006-0000-0200-00000E000000}">
      <text>
        <r>
          <rPr>
            <sz val="11"/>
            <color theme="1"/>
            <rFont val="宋体"/>
            <charset val="134"/>
            <scheme val="minor"/>
          </rPr>
          <t>剥落露筋总面积/横隔板表面积总数:
  ＜5%：10
5%~10%：20
 ＞10%：30</t>
        </r>
      </text>
    </comment>
    <comment ref="D27" authorId="0" shapeId="0" xr:uid="{00000000-0006-0000-0200-00000F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轻微：30，振动不易被识别
严重：*   明显异常振动
</t>
        </r>
      </text>
    </comment>
    <comment ref="D28" authorId="0" shapeId="0" xr:uid="{00000000-0006-0000-0200-000010000000}">
      <text>
        <r>
          <rPr>
            <sz val="11"/>
            <color theme="1"/>
            <rFont val="宋体"/>
            <charset val="134"/>
            <scheme val="minor"/>
          </rPr>
          <t xml:space="preserve">    无：0
非贯通：25
贯  通：30</t>
        </r>
      </text>
    </comment>
    <comment ref="D29" authorId="0" shapeId="0" xr:uid="{00000000-0006-0000-0200-000011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轻微：40
严重：60</t>
        </r>
      </text>
    </comment>
    <comment ref="D30" authorId="0" shapeId="0" xr:uid="{00000000-0006-0000-0200-000012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少量：15
大量：25</t>
        </r>
      </text>
    </comment>
    <comment ref="D31" authorId="0" shapeId="0" xr:uid="{00000000-0006-0000-0200-000013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少量：30
大量：50</t>
        </r>
      </text>
    </comment>
    <comment ref="D32" authorId="0" shapeId="0" xr:uid="{00000000-0006-0000-0200-000014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少量：15
大量：30</t>
        </r>
      </text>
    </comment>
    <comment ref="D33" authorId="0" shapeId="0" xr:uid="{00000000-0006-0000-0200-000015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轻微：15，风化剥落程度不高
严重：40，风化剥落程度高</t>
        </r>
      </text>
    </comment>
    <comment ref="D34" authorId="0" shapeId="0" xr:uid="{00000000-0006-0000-0200-000016000000}">
      <text>
        <r>
          <rPr>
            <sz val="11"/>
            <color theme="1"/>
            <rFont val="宋体"/>
            <charset val="134"/>
            <scheme val="minor"/>
          </rPr>
          <t>网状裂缝总面积/整个主拱圈表面积:
  ＜3%：10
3%~10%：30
 ＞10%：65
定义：表面出现网状裂缝。</t>
        </r>
      </text>
    </comment>
    <comment ref="D35" authorId="0" shapeId="0" xr:uid="{00000000-0006-0000-0200-000017000000}">
      <text>
        <r>
          <rPr>
            <sz val="11"/>
            <color theme="1"/>
            <rFont val="宋体"/>
            <charset val="134"/>
            <scheme val="minor"/>
          </rPr>
          <t>无：0
轻微：20
严重：50
构件表面裂缝进一步发展造成深度开裂</t>
        </r>
      </text>
    </comment>
    <comment ref="D36" authorId="0" shapeId="0" xr:uid="{00000000-0006-0000-0200-000018000000}">
      <text>
        <r>
          <rPr>
            <sz val="11"/>
            <color theme="1"/>
            <rFont val="宋体"/>
            <charset val="134"/>
            <scheme val="minor"/>
          </rPr>
          <t xml:space="preserve">  无：0
明显：35，未超允许值
严重：60，超过允许值
由于受力过大而产生的构件表面裂缝</t>
        </r>
      </text>
    </comment>
    <comment ref="D37" authorId="0" shapeId="0" xr:uid="{00000000-0006-0000-0200-000019000000}">
      <text>
        <r>
          <rPr>
            <sz val="11"/>
            <color theme="1"/>
            <rFont val="宋体"/>
            <charset val="134"/>
            <scheme val="minor"/>
          </rPr>
          <t>无：0
轻微：30，剥落现象存在但不明显
严重：45，剥落现象明显</t>
        </r>
      </text>
    </comment>
    <comment ref="D38" authorId="0" shapeId="0" xr:uid="{00000000-0006-0000-0200-00001A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轻微：35，露筋锈蚀存在但不明显
严重：70，露筋锈蚀现象明显</t>
        </r>
      </text>
    </comment>
    <comment ref="D39" authorId="0" shapeId="0" xr:uid="{00000000-0006-0000-0200-00001B000000}">
      <text>
        <r>
          <rPr>
            <sz val="11"/>
            <color theme="1"/>
            <rFont val="宋体"/>
            <charset val="134"/>
            <scheme val="minor"/>
          </rPr>
          <t>节点开裂个数/总节点个数:
  ＜5%：10
5%~10%：30
 ＞10%：65
节点处因受力过大而开裂</t>
        </r>
      </text>
    </comment>
    <comment ref="D40" authorId="0" shapeId="0" xr:uid="{00000000-0006-0000-0200-00001C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轻微：15，渗水面积不大且不明显
严重：40，渗水面积较大且非常明显</t>
        </r>
      </text>
    </comment>
    <comment ref="D41" authorId="0" shapeId="0" xr:uid="{00000000-0006-0000-0200-00001D000000}">
      <text>
        <r>
          <rPr>
            <sz val="11"/>
            <color theme="1"/>
            <rFont val="宋体"/>
            <charset val="134"/>
            <scheme val="minor"/>
          </rPr>
          <t>微弯板网裂总面积/整个微弯板总面积:
  ＜10%：15
10%~20%：25
  ＞20%：35</t>
        </r>
      </text>
    </comment>
    <comment ref="D42" authorId="0" shapeId="0" xr:uid="{00000000-0006-0000-0200-00001E000000}">
      <text>
        <r>
          <rPr>
            <sz val="11"/>
            <color theme="1"/>
            <rFont val="宋体"/>
            <charset val="134"/>
            <scheme val="minor"/>
          </rPr>
          <t>微弯板剥落露筋总面积/整个微弯板总面积:
  ＜10%：10
10%~20%：20
  ＞20%：30</t>
        </r>
      </text>
    </comment>
    <comment ref="D43" authorId="0" shapeId="0" xr:uid="{00000000-0006-0000-0200-00001F000000}">
      <text>
        <r>
          <rPr>
            <sz val="11"/>
            <color theme="1"/>
            <rFont val="宋体"/>
            <charset val="134"/>
            <scheme val="minor"/>
          </rPr>
          <t>开裂连接件个数/所有连接件个数:
  ＜5%：15
5%~10%：25
 ＞10%：35</t>
        </r>
      </text>
    </comment>
    <comment ref="D44" authorId="0" shapeId="0" xr:uid="{00000000-0006-0000-0200-000020000000}">
      <text>
        <r>
          <rPr>
            <sz val="11"/>
            <color theme="1"/>
            <rFont val="宋体"/>
            <charset val="134"/>
            <scheme val="minor"/>
          </rPr>
          <t>剥落露筋的连接件个数/所有连接件个数:
  ＜5%：20
5%~10%：30
 ＞10%：50</t>
        </r>
      </text>
    </comment>
    <comment ref="D45" authorId="0" shapeId="0" xr:uid="{00000000-0006-0000-0200-000021000000}">
      <text>
        <r>
          <rPr>
            <sz val="11"/>
            <color theme="1"/>
            <rFont val="宋体"/>
            <charset val="134"/>
            <scheme val="minor"/>
          </rPr>
          <t xml:space="preserve">    无：0
非贯通：25
贯  通：45
</t>
        </r>
      </text>
    </comment>
    <comment ref="D46" authorId="0" shapeId="0" xr:uid="{00000000-0006-0000-0200-000022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轻微：15，风化剥落程度不高
严重：40，风化剥落程度高</t>
        </r>
      </text>
    </comment>
    <comment ref="D47" authorId="0" shapeId="0" xr:uid="{00000000-0006-0000-0200-000023000000}">
      <text>
        <r>
          <rPr>
            <sz val="11"/>
            <color theme="1"/>
            <rFont val="宋体"/>
            <charset val="134"/>
            <scheme val="minor"/>
          </rPr>
          <t>作者:
无：0
轻微：25，侧墙偏离原位置
严重：45，侧墙倾斜明显</t>
        </r>
      </text>
    </comment>
    <comment ref="D48" authorId="0" shapeId="0" xr:uid="{00000000-0006-0000-0200-000024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少量：15
严重：25</t>
        </r>
      </text>
    </comment>
    <comment ref="D49" authorId="0" shapeId="0" xr:uid="{00000000-0006-0000-0200-000025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少量：25
大量：45</t>
        </r>
      </text>
    </comment>
    <comment ref="D50" authorId="0" shapeId="0" xr:uid="{00000000-0006-0000-0200-000026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少量：15
大量：30</t>
        </r>
      </text>
    </comment>
    <comment ref="D51" authorId="0" shapeId="0" xr:uid="{00000000-0006-0000-0200-000027000000}">
      <text>
        <r>
          <rPr>
            <sz val="11"/>
            <color theme="1"/>
            <rFont val="宋体"/>
            <charset val="134"/>
            <scheme val="minor"/>
          </rPr>
          <t>无：0
轻微：15
严重：40</t>
        </r>
      </text>
    </comment>
    <comment ref="D52" authorId="0" shapeId="0" xr:uid="{00000000-0006-0000-0200-000028000000}">
      <text>
        <r>
          <rPr>
            <sz val="11"/>
            <color theme="1"/>
            <rFont val="宋体"/>
            <charset val="134"/>
            <scheme val="minor"/>
          </rPr>
          <t>作者:
无：0
少量：15
大量：40</t>
        </r>
      </text>
    </comment>
    <comment ref="D53" authorId="0" shapeId="0" xr:uid="{00000000-0006-0000-0200-000029000000}">
      <text>
        <r>
          <rPr>
            <sz val="11"/>
            <color theme="1"/>
            <rFont val="宋体"/>
            <charset val="134"/>
            <scheme val="minor"/>
          </rPr>
          <t>无：0
轻微：30，剥落现象存在但不明显
严重：45，剥落现象明显</t>
        </r>
      </text>
    </comment>
    <comment ref="D54" authorId="0" shapeId="0" xr:uid="{00000000-0006-0000-0200-00002A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轻微：30，露筋锈蚀存在但不明显
严重：60，露筋锈蚀现象明显</t>
        </r>
      </text>
    </comment>
    <comment ref="D55" authorId="0" shapeId="0" xr:uid="{00000000-0006-0000-0200-00002B000000}">
      <text>
        <r>
          <rPr>
            <sz val="11"/>
            <color theme="1"/>
            <rFont val="宋体"/>
            <charset val="134"/>
            <scheme val="minor"/>
          </rPr>
          <t>无：0
明显：35，未超允许值
严重：70，超过允许值
由于受力过大而产生的构件表面裂缝</t>
        </r>
      </text>
    </comment>
    <comment ref="D56" authorId="0" shapeId="0" xr:uid="{00000000-0006-0000-0200-00002C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轻微：15，渗水面积不大且不明显
严重：40，渗水面积较大且非常明显</t>
        </r>
      </text>
    </comment>
    <comment ref="D57" authorId="0" shapeId="0" xr:uid="{00000000-0006-0000-0200-00002D000000}">
      <text>
        <r>
          <rPr>
            <sz val="11"/>
            <color theme="1"/>
            <rFont val="宋体"/>
            <charset val="134"/>
            <scheme val="minor"/>
          </rPr>
          <t xml:space="preserve">
 轻微：10
中等：30
严重：80  *</t>
        </r>
      </text>
    </comment>
    <comment ref="D58" authorId="0" shapeId="0" xr:uid="{00000000-0006-0000-0200-00002E000000}">
      <text>
        <r>
          <rPr>
            <sz val="11"/>
            <color theme="1"/>
            <rFont val="宋体"/>
            <charset val="134"/>
            <scheme val="minor"/>
          </rPr>
          <t>轻微：10
中等：30
严重：80 *</t>
        </r>
      </text>
    </comment>
    <comment ref="D59" authorId="0" shapeId="0" xr:uid="{00000000-0006-0000-0200-00002F000000}">
      <text>
        <r>
          <rPr>
            <sz val="11"/>
            <color theme="1"/>
            <rFont val="宋体"/>
            <charset val="134"/>
            <scheme val="minor"/>
          </rPr>
          <t>无：0
轻微：15
明显：40</t>
        </r>
      </text>
    </comment>
    <comment ref="D60" authorId="0" shapeId="0" xr:uid="{00000000-0006-0000-0200-000030000000}">
      <text>
        <r>
          <rPr>
            <sz val="11"/>
            <color theme="1"/>
            <rFont val="宋体"/>
            <charset val="134"/>
            <scheme val="minor"/>
          </rPr>
          <t>起皮面积/整个钢结构物表面积
无：0
＜30%：15
＞30%：30</t>
        </r>
      </text>
    </comment>
    <comment ref="D61" authorId="0" shapeId="0" xr:uid="{00000000-0006-0000-0200-000031000000}">
      <text>
        <r>
          <rPr>
            <sz val="11"/>
            <color theme="1"/>
            <rFont val="宋体"/>
            <charset val="134"/>
            <scheme val="minor"/>
          </rPr>
          <t>剥落面积/整个钢结构物表面积
无：0
＜10%：20
＞10%：40</t>
        </r>
      </text>
    </comment>
    <comment ref="D62" authorId="0" shapeId="0" xr:uid="{00000000-0006-0000-0200-000032000000}">
      <text>
        <r>
          <rPr>
            <sz val="11"/>
            <color theme="1"/>
            <rFont val="宋体"/>
            <charset val="134"/>
            <scheme val="minor"/>
          </rPr>
          <t>一般锈蚀面积/整个钢结构物表面积
无：0
＜10%：25
＞10%：45</t>
        </r>
      </text>
    </comment>
    <comment ref="D63" authorId="0" shapeId="0" xr:uid="{00000000-0006-0000-0200-000033000000}">
      <text>
        <r>
          <rPr>
            <sz val="11"/>
            <color theme="1"/>
            <rFont val="宋体"/>
            <charset val="134"/>
            <scheme val="minor"/>
          </rPr>
          <t>严重锈蚀面积/整个钢结构物表面积
  ＜5%：30
5%~10%：60
 ＞10%：*</t>
        </r>
      </text>
    </comment>
    <comment ref="D64" authorId="0" shapeId="0" xr:uid="{00000000-0006-0000-0200-000034000000}">
      <text>
        <r>
          <rPr>
            <sz val="11"/>
            <color theme="1"/>
            <rFont val="宋体"/>
            <charset val="134"/>
            <scheme val="minor"/>
          </rPr>
          <t xml:space="preserve">  无：0
局部：25
大量：*</t>
        </r>
      </text>
    </comment>
    <comment ref="D65" authorId="0" shapeId="0" xr:uid="{00000000-0006-0000-0200-000035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少量：45，
严重：* ，</t>
        </r>
      </text>
    </comment>
    <comment ref="D66" authorId="0" shapeId="0" xr:uid="{00000000-0006-0000-0200-000036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少量：65
严重：*</t>
        </r>
      </text>
    </comment>
    <comment ref="D67" authorId="0" shapeId="0" xr:uid="{00000000-0006-0000-0200-000037000000}">
      <text>
        <r>
          <rPr>
            <sz val="11"/>
            <color theme="1"/>
            <rFont val="宋体"/>
            <charset val="134"/>
            <scheme val="minor"/>
          </rPr>
          <t xml:space="preserve">损失铆钉数/铆钉总数
   无：0
＜20%：40
＞20%：*
</t>
        </r>
      </text>
    </comment>
    <comment ref="D68" authorId="0" shapeId="0" xr:uid="{00000000-0006-0000-0200-000038000000}">
      <text>
        <r>
          <rPr>
            <sz val="11"/>
            <color theme="1"/>
            <rFont val="宋体"/>
            <charset val="134"/>
            <scheme val="minor"/>
          </rPr>
          <t>无：0
少量：20，≤20%螺栓出现松动
大量：* ，＞20%螺栓出现松动</t>
        </r>
      </text>
    </comment>
    <comment ref="D69" authorId="0" shapeId="0" xr:uid="{00000000-0006-0000-0200-000039000000}">
      <text>
        <r>
          <rPr>
            <sz val="11"/>
            <color theme="1"/>
            <rFont val="宋体"/>
            <charset val="134"/>
            <scheme val="minor"/>
          </rPr>
          <t>钢梁、钢盖梁、钢墩台身非正常变形出现扭曲、错位：
轻微：15，局部弯曲不明显
明显：40，变形但不影响功能
严重：* ，严重变形且影响结构功能</t>
        </r>
      </text>
    </comment>
    <comment ref="D70" authorId="0" shapeId="0" xr:uid="{00000000-0006-0000-0200-00003A000000}">
      <text>
        <r>
          <rPr>
            <sz val="11"/>
            <color theme="1"/>
            <rFont val="宋体"/>
            <charset val="134"/>
            <scheme val="minor"/>
          </rPr>
          <t>无：0
有：35
严重：80  *</t>
        </r>
      </text>
    </comment>
    <comment ref="D71" authorId="0" shapeId="0" xr:uid="{00000000-0006-0000-0200-00003B000000}">
      <text>
        <r>
          <rPr>
            <sz val="11"/>
            <color theme="1"/>
            <rFont val="宋体"/>
            <charset val="134"/>
            <scheme val="minor"/>
          </rPr>
          <t xml:space="preserve">无0
,剥离25
,锈蚀60
</t>
        </r>
      </text>
    </comment>
    <comment ref="D72" authorId="0" shapeId="0" xr:uid="{00000000-0006-0000-0200-00003C000000}">
      <text>
        <r>
          <rPr>
            <sz val="11"/>
            <color theme="1"/>
            <rFont val="宋体"/>
            <charset val="134"/>
            <scheme val="minor"/>
          </rPr>
          <t>无,0,
轻微,15
严重 25</t>
        </r>
      </text>
    </comment>
    <comment ref="D73" authorId="0" shapeId="0" xr:uid="{00000000-0006-0000-0200-00003D000000}">
      <text>
        <r>
          <rPr>
            <sz val="11"/>
            <color theme="1"/>
            <rFont val="宋体"/>
            <charset val="134"/>
            <scheme val="minor"/>
          </rPr>
          <t>无：0
锈蚀：20
锈蚀且削弱截面：40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M11" authorId="0" shapeId="0" xr:uid="{00000000-0006-0000-0300-000001000000}">
      <text>
        <r>
          <rPr>
            <sz val="11"/>
            <color theme="1"/>
            <rFont val="宋体"/>
            <charset val="134"/>
            <scheme val="minor"/>
          </rPr>
          <t>1：梁桥、悬臂+挂梁、刚构桥、桁架桥
2：拱桥
3：人行天桥</t>
        </r>
      </text>
    </comment>
    <comment ref="D13" authorId="0" shapeId="0" xr:uid="{00000000-0006-0000-0300-000002000000}">
      <text>
        <r>
          <rPr>
            <sz val="11"/>
            <color theme="1"/>
            <rFont val="宋体"/>
            <charset val="134"/>
            <scheme val="minor"/>
          </rPr>
          <t>表面裂缝总面积/整个台帽盖梁表面积:
  ＜3%：8
3%~10%：15
 ＞10%：25
定义：表面出现网状裂缝。</t>
        </r>
      </text>
    </comment>
    <comment ref="D14" authorId="0" shapeId="0" xr:uid="{00000000-0006-0000-0300-000003000000}">
      <text>
        <r>
          <rPr>
            <sz val="11"/>
            <color theme="1"/>
            <rFont val="宋体"/>
            <charset val="134"/>
            <scheme val="minor"/>
          </rPr>
          <t>剥离总面积/整个台帽盖梁表面积:
   1%：12
1%~2%：20
 ＞2%：30
定义：表面混凝土破裂脱落。</t>
        </r>
      </text>
    </comment>
    <comment ref="D15" authorId="0" shapeId="0" xr:uid="{00000000-0006-0000-0300-000004000000}">
      <text>
        <r>
          <rPr>
            <sz val="11"/>
            <color theme="1"/>
            <rFont val="宋体"/>
            <charset val="134"/>
            <scheme val="minor"/>
          </rPr>
          <t>露筋锈蚀总面积/整个表面积:
   1%：10
1%~2%：15
 ＞2%：25
定义：表面混凝土脱落露筋内嵌钢筋并产生锈蚀。</t>
        </r>
      </text>
    </comment>
    <comment ref="D16" authorId="0" shapeId="0" xr:uid="{00000000-0006-0000-0300-000005000000}">
      <text>
        <r>
          <rPr>
            <sz val="11"/>
            <color theme="1"/>
            <rFont val="宋体"/>
            <charset val="134"/>
            <scheme val="minor"/>
          </rPr>
          <t xml:space="preserve">无：0
明显：15，不超允许值
严重：40，超允许值
</t>
        </r>
      </text>
    </comment>
    <comment ref="D17" authorId="0" shapeId="0" xr:uid="{00000000-0006-0000-0300-000006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轻微：15，渗水痕迹面积不大且不明显
严重：40，渗水痕迹面积较大且明显</t>
        </r>
      </text>
    </comment>
    <comment ref="D18" authorId="0" shapeId="0" xr:uid="{00000000-0006-0000-0300-000007000000}">
      <text>
        <r>
          <rPr>
            <sz val="11"/>
            <color theme="1"/>
            <rFont val="宋体"/>
            <charset val="134"/>
            <scheme val="minor"/>
          </rPr>
          <t>成块剥落面积/整个台帽盖梁表面积：
 ＜1%：5
1%~2%：15
 ＞2%：25
混凝土成块破损并剥落</t>
        </r>
      </text>
    </comment>
    <comment ref="D19" authorId="0" shapeId="0" xr:uid="{00000000-0006-0000-0300-000008000000}">
      <text>
        <r>
          <rPr>
            <sz val="11"/>
            <color theme="1"/>
            <rFont val="宋体"/>
            <charset val="134"/>
            <scheme val="minor"/>
          </rPr>
          <t xml:space="preserve">    无：0
非贯通：20，没有相互连接形成环绕整个墩身
贯  通：40，相互连接环绕整个墩身</t>
        </r>
      </text>
    </comment>
    <comment ref="D20" authorId="0" shapeId="0" xr:uid="{00000000-0006-0000-0300-000009000000}">
      <text>
        <r>
          <rPr>
            <sz val="11"/>
            <color theme="1"/>
            <rFont val="宋体"/>
            <charset val="134"/>
            <scheme val="minor"/>
          </rPr>
          <t xml:space="preserve">    无：0
非贯通：20，没有相互连接自上而下贯通整个墩身
贯  通：40，</t>
        </r>
      </text>
    </comment>
    <comment ref="D21" authorId="0" shapeId="0" xr:uid="{00000000-0006-0000-0300-00000A000000}">
      <text>
        <r>
          <rPr>
            <sz val="11"/>
            <color theme="1"/>
            <rFont val="宋体"/>
            <charset val="134"/>
            <scheme val="minor"/>
          </rPr>
          <t>完好：0
微裂：15，轻微裂缝
贯通：35</t>
        </r>
      </text>
    </comment>
    <comment ref="D22" authorId="0" shapeId="0" xr:uid="{00000000-0006-0000-0300-00000B000000}">
      <text>
        <r>
          <rPr>
            <sz val="11"/>
            <color theme="1"/>
            <rFont val="宋体"/>
            <charset val="134"/>
            <scheme val="minor"/>
          </rPr>
          <t>露筋锈蚀总面积/整个表面积:
   1%：10
1%~2%：25
 ＞2%：50
定义：表面混凝土脱落露筋内嵌钢筋并产生锈蚀。</t>
        </r>
      </text>
    </comment>
    <comment ref="D23" authorId="0" shapeId="0" xr:uid="{00000000-0006-0000-0300-00000C000000}">
      <text>
        <r>
          <rPr>
            <sz val="11"/>
            <color theme="1"/>
            <rFont val="宋体"/>
            <charset val="134"/>
            <scheme val="minor"/>
          </rPr>
          <t>剥离总面积/整个台帽盖梁表面积:
   1%：12
1%~2%：20
 ＞2%：30
定义：表面混凝土破裂脱落。</t>
        </r>
      </text>
    </comment>
    <comment ref="D24" authorId="0" shapeId="0" xr:uid="{00000000-0006-0000-0300-00000D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轻微：30，无倾覆危险
严重：* ，有倾覆危险</t>
        </r>
      </text>
    </comment>
    <comment ref="D25" authorId="0" shapeId="0" xr:uid="{00000000-0006-0000-0300-00000E000000}">
      <text>
        <r>
          <rPr>
            <sz val="11"/>
            <color theme="1"/>
            <rFont val="宋体"/>
            <charset val="134"/>
            <scheme val="minor"/>
          </rPr>
          <t xml:space="preserve">    无：0
非贯通：25
贯  通：50</t>
        </r>
      </text>
    </comment>
    <comment ref="D26" authorId="0" shapeId="0" xr:uid="{00000000-0006-0000-0300-00000F000000}">
      <text>
        <r>
          <rPr>
            <sz val="11"/>
            <color theme="1"/>
            <rFont val="宋体"/>
            <charset val="134"/>
            <scheme val="minor"/>
          </rPr>
          <t>完好：0
松动：20
锈蚀：30</t>
        </r>
      </text>
    </comment>
    <comment ref="D27" authorId="0" shapeId="0" xr:uid="{00000000-0006-0000-0300-000010000000}">
      <text>
        <r>
          <rPr>
            <sz val="11"/>
            <color theme="1"/>
            <rFont val="宋体"/>
            <charset val="134"/>
            <scheme val="minor"/>
          </rPr>
          <t>完好：0
变形：15，变形超过设计允许值
开裂：40，有裂缝了</t>
        </r>
      </text>
    </comment>
    <comment ref="D28" authorId="0" shapeId="0" xr:uid="{00000000-0006-0000-0300-000011000000}">
      <text>
        <r>
          <rPr>
            <sz val="11"/>
            <color theme="1"/>
            <rFont val="宋体"/>
            <charset val="134"/>
            <scheme val="minor"/>
          </rPr>
          <t>作者:
完好：0
松动：40
锈蚀：65</t>
        </r>
      </text>
    </comment>
    <comment ref="D29" authorId="0" shapeId="0" xr:uid="{00000000-0006-0000-0300-000012000000}">
      <text>
        <r>
          <rPr>
            <sz val="11"/>
            <color theme="1"/>
            <rFont val="宋体"/>
            <charset val="134"/>
            <scheme val="minor"/>
          </rPr>
          <t>完好：0
锈蚀：20，砼破损脱落，露出内嵌钢筋且锈蚀
碎裂：60，砼破损严重，开裂成碎块</t>
        </r>
      </text>
    </comment>
    <comment ref="D30" authorId="0" shapeId="0" xr:uid="{00000000-0006-0000-0300-000013000000}">
      <text>
        <r>
          <rPr>
            <sz val="11"/>
            <color theme="1"/>
            <rFont val="宋体"/>
            <charset val="134"/>
            <scheme val="minor"/>
          </rPr>
          <t>稳    定：0
不    稳：40，支承不是很稳定有一定松动、脱空
落梁危险：* ，很不稳定，有落梁危险</t>
        </r>
      </text>
    </comment>
    <comment ref="D31" authorId="0" shapeId="0" xr:uid="{00000000-0006-0000-0300-000014000000}">
      <text>
        <r>
          <rPr>
            <sz val="11"/>
            <color theme="1"/>
            <rFont val="宋体"/>
            <charset val="134"/>
            <scheme val="minor"/>
          </rPr>
          <t>完好：0
轻微：20
严重：40</t>
        </r>
      </text>
    </comment>
    <comment ref="D32" authorId="0" shapeId="0" xr:uid="{00000000-0006-0000-0300-000015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轻微：15，面积≤20%的冲刷损坏
严重：30，面积＞20%的冲刷破损</t>
        </r>
      </text>
    </comment>
    <comment ref="D33" authorId="0" shapeId="0" xr:uid="{00000000-0006-0000-0300-000016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轻微：35，个别位置≤20%的掏空破损
严重：* ，出现＞20%的掏空破损，严重影响基础结构完整性</t>
        </r>
      </text>
    </comment>
    <comment ref="D34" authorId="0" shapeId="0" xr:uid="{00000000-0006-0000-0300-000017000000}">
      <text>
        <r>
          <rPr>
            <sz val="11"/>
            <color theme="1"/>
            <rFont val="宋体"/>
            <charset val="134"/>
            <scheme val="minor"/>
          </rPr>
          <t>完    好：0
直径减小：30，直径减小，但未露出钢筋
锈    蚀：40，已露出钢筋</t>
        </r>
      </text>
    </comment>
    <comment ref="D35" authorId="0" shapeId="0" xr:uid="{00000000-0006-0000-0300-000018000000}">
      <text>
        <r>
          <rPr>
            <sz val="11"/>
            <color theme="1"/>
            <rFont val="宋体"/>
            <charset val="134"/>
            <scheme val="minor"/>
          </rPr>
          <t xml:space="preserve">      无：0
倾    斜：30，未出现坍塌变形
坍塌变形：* ，倾斜严重，出现坍塌变形</t>
        </r>
      </text>
    </comment>
    <comment ref="D36" authorId="0" shapeId="0" xr:uid="{00000000-0006-0000-0300-000019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轻微：10，表面砼剥离脱落≤20%
严重：20，表面砼剥离脱落＞20%</t>
        </r>
      </text>
    </comment>
    <comment ref="D37" authorId="0" shapeId="0" xr:uid="{00000000-0006-0000-0300-00001A000000}">
      <text>
        <r>
          <rPr>
            <sz val="11"/>
            <color theme="1"/>
            <rFont val="宋体"/>
            <charset val="134"/>
            <scheme val="minor"/>
          </rPr>
          <t>完好：0
开裂：15，翼墙与桥台结合处出现开裂，未脱开。
脱开：25，翼墙与桥台结合处完全脱开。</t>
        </r>
      </text>
    </comment>
    <comment ref="D38" authorId="0" shapeId="0" xr:uid="{00000000-0006-0000-0300-00001B000000}">
      <text>
        <r>
          <rPr>
            <sz val="11"/>
            <color theme="1"/>
            <rFont val="宋体"/>
            <charset val="134"/>
            <scheme val="minor"/>
          </rPr>
          <t>完    好：0
失去部分：25，失去部分挡土功能
完全散失：35，完全失去挡土功能</t>
        </r>
      </text>
    </comment>
    <comment ref="D39" authorId="0" shapeId="0" xr:uid="{00000000-0006-0000-0300-00001C000000}">
      <text>
        <r>
          <rPr>
            <sz val="11"/>
            <color theme="1"/>
            <rFont val="宋体"/>
            <charset val="134"/>
            <scheme val="minor"/>
          </rPr>
          <t xml:space="preserve">  无：0
少量：15，有1~5个贯通缝
大量：35，超过5个贯通缝</t>
        </r>
      </text>
    </comment>
    <comment ref="D40" authorId="0" shapeId="0" xr:uid="{00000000-0006-0000-0300-00001D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轻微：35，与原位置轻微偏移
严重：65，严重偏离原位置</t>
        </r>
      </text>
    </comment>
    <comment ref="D41" authorId="0" shapeId="0" xr:uid="{00000000-0006-0000-0300-00001E000000}">
      <text>
        <r>
          <rPr>
            <sz val="11"/>
            <color theme="1"/>
            <rFont val="宋体"/>
            <charset val="134"/>
            <scheme val="minor"/>
          </rPr>
          <t xml:space="preserve">  无：0
轻微：20，裂缝发展较小，未贯通
严重：50，严重开裂，有贯通现象
定义：拱脚附近的构件表面出现裂缝。</t>
        </r>
      </text>
    </comment>
    <comment ref="D42" authorId="0" shapeId="0" xr:uid="{00000000-0006-0000-0300-00001F000000}">
      <text>
        <r>
          <rPr>
            <sz val="11"/>
            <color theme="1"/>
            <rFont val="宋体"/>
            <charset val="134"/>
            <scheme val="minor"/>
          </rPr>
          <t xml:space="preserve">    无：0
个别处：30，拱脚有1处出现材料缺失
多  处：60，拱脚材料有2处以上的残缺，基础缺脚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J3" authorId="0" shapeId="0" xr:uid="{00000000-0006-0000-0400-000001000000}">
      <text>
        <r>
          <rPr>
            <sz val="11"/>
            <color theme="1"/>
            <rFont val="宋体"/>
            <charset val="134"/>
            <scheme val="minor"/>
          </rPr>
          <t>Administrator:
结构没有的构件，权重直接删除。</t>
        </r>
      </text>
    </comment>
    <comment ref="L3" authorId="0" shapeId="0" xr:uid="{00000000-0006-0000-0400-000002000000}">
      <text>
        <r>
          <rPr>
            <sz val="11"/>
            <color theme="1"/>
            <rFont val="宋体"/>
            <charset val="134"/>
            <scheme val="minor"/>
          </rPr>
          <t>Administrator:
结构没有的部位，权重直接删除。</t>
        </r>
      </text>
    </comment>
  </commentList>
</comments>
</file>

<file path=xl/sharedStrings.xml><?xml version="1.0" encoding="utf-8"?>
<sst xmlns="http://schemas.openxmlformats.org/spreadsheetml/2006/main" count="491" uniqueCount="273">
  <si>
    <t>梁式桥、桁架桥、拱桥、刚构桥、悬臂+挂梁</t>
  </si>
  <si>
    <t>表格使用方法：
（1）各构件根据实际情况进行扣分（注意表格批注）；红色区域为手动填写区域。
（2）构件权重重分配：根据规范和实际，不存在的构件对应“实际参与权重”一列的“规范权重”为“空”即可。
（3）结构类型：人行天桥（填2），其他（填1）。</t>
  </si>
  <si>
    <t>序号</t>
  </si>
  <si>
    <t>桥 面 要 素</t>
  </si>
  <si>
    <t>评分</t>
  </si>
  <si>
    <t>规范权重</t>
  </si>
  <si>
    <t>实际参与权重</t>
  </si>
  <si>
    <t>重分配权重</t>
  </si>
  <si>
    <t>BCIm</t>
  </si>
  <si>
    <t>BSIm</t>
  </si>
  <si>
    <t>桥面铺装</t>
  </si>
  <si>
    <t>栏杆或护栏</t>
  </si>
  <si>
    <t>伸缩装置</t>
  </si>
  <si>
    <t>排水系统</t>
  </si>
  <si>
    <t>*：II类~V类养护的城市桥梁的构件达到该项损坏程度时，扣分值按80分计算，该桥的评定等级不应高于D级。</t>
  </si>
  <si>
    <t>桥头平顺</t>
  </si>
  <si>
    <t>人行道</t>
  </si>
  <si>
    <t>要素</t>
  </si>
  <si>
    <t>损坏类型</t>
  </si>
  <si>
    <t>损坏程度</t>
  </si>
  <si>
    <t>单项扣分DPhi</t>
  </si>
  <si>
    <t>权重ωhi</t>
  </si>
  <si>
    <t>DP×ω</t>
  </si>
  <si>
    <t>μhi</t>
  </si>
  <si>
    <t>max（DPhi）</t>
  </si>
  <si>
    <t>MDPh</t>
  </si>
  <si>
    <t>综合扣分</t>
  </si>
  <si>
    <t>综合得分</t>
  </si>
  <si>
    <t>结构类型</t>
  </si>
  <si>
    <t>网裂或龟裂</t>
  </si>
  <si>
    <t>无</t>
  </si>
  <si>
    <t>波浪及车辙</t>
  </si>
  <si>
    <t>坑槽</t>
  </si>
  <si>
    <t>&lt;3%</t>
  </si>
  <si>
    <t>碎裂或破碎</t>
  </si>
  <si>
    <t>坑洞</t>
  </si>
  <si>
    <t>桥面贯通横缝</t>
  </si>
  <si>
    <t>桥面贯通纵缝</t>
  </si>
  <si>
    <t>人行天桥桥面铺装变形</t>
  </si>
  <si>
    <t>人行天桥桥面铺装磨损</t>
  </si>
  <si>
    <t>人行天桥桥面铺装防滑能力</t>
  </si>
  <si>
    <t>足够</t>
  </si>
  <si>
    <t>桥头沉降</t>
  </si>
  <si>
    <t>台背下沉</t>
  </si>
  <si>
    <t>伸缩缝</t>
  </si>
  <si>
    <t>螺帽松动</t>
  </si>
  <si>
    <t>缝内沉积物阻塞</t>
  </si>
  <si>
    <t>止水带破损、老化</t>
  </si>
  <si>
    <t>钢材料破损</t>
  </si>
  <si>
    <t>接缝处铺装碎边</t>
  </si>
  <si>
    <t>接缝处高差</t>
  </si>
  <si>
    <t>钢材料翘曲变形</t>
  </si>
  <si>
    <t>结构缝宽异常</t>
  </si>
  <si>
    <t>正常</t>
  </si>
  <si>
    <t>伸缩缝处异常声响</t>
  </si>
  <si>
    <t>泄水管阻塞</t>
  </si>
  <si>
    <t>残缺脱落</t>
  </si>
  <si>
    <t>桥面积水</t>
  </si>
  <si>
    <t>防水层</t>
  </si>
  <si>
    <t>完好</t>
  </si>
  <si>
    <t>路筋锈蚀</t>
  </si>
  <si>
    <t>&gt;20%</t>
  </si>
  <si>
    <t>松动错位</t>
  </si>
  <si>
    <t>丢失残缺</t>
  </si>
  <si>
    <t>人行道块件</t>
  </si>
  <si>
    <t>网裂</t>
  </si>
  <si>
    <t>松动或变形</t>
  </si>
  <si>
    <t>残缺</t>
  </si>
  <si>
    <t>整桥技术状况评分</t>
  </si>
  <si>
    <t>II类~V类养护的城市桥梁完好状态分级</t>
  </si>
  <si>
    <t>整桥技术状况评分BCI</t>
  </si>
  <si>
    <t>整桥技术状况评定等级</t>
  </si>
  <si>
    <t>城市桥梁完好状态</t>
  </si>
  <si>
    <t>部位权重</t>
  </si>
  <si>
    <t>等级</t>
  </si>
  <si>
    <t>状态</t>
  </si>
  <si>
    <t>BCI范围</t>
  </si>
  <si>
    <t>养护对策</t>
  </si>
  <si>
    <t>A级</t>
  </si>
  <si>
    <t>[90，100）</t>
  </si>
  <si>
    <t>日常保养</t>
  </si>
  <si>
    <t>结构名称</t>
  </si>
  <si>
    <t>部位评分</t>
  </si>
  <si>
    <t>结构状态</t>
  </si>
  <si>
    <t>构件名称</t>
  </si>
  <si>
    <t>B级</t>
  </si>
  <si>
    <t>良好</t>
  </si>
  <si>
    <t>[80，90）</t>
  </si>
  <si>
    <t>保养小修</t>
  </si>
  <si>
    <t>桥面系</t>
  </si>
  <si>
    <t>C级</t>
  </si>
  <si>
    <t>合格</t>
  </si>
  <si>
    <t>[66，80）</t>
  </si>
  <si>
    <t>针对性小修或中修工程</t>
  </si>
  <si>
    <t>D级</t>
  </si>
  <si>
    <t>不合格</t>
  </si>
  <si>
    <t>[50，66）</t>
  </si>
  <si>
    <t>检测评估后进行中修、大修或加固工程</t>
  </si>
  <si>
    <t>E级</t>
  </si>
  <si>
    <t>危险</t>
  </si>
  <si>
    <t>[0，50）</t>
  </si>
  <si>
    <t>检测评估后进行中修、加固或改扩建工程</t>
  </si>
  <si>
    <t>II类~V类养护的城市桥梁结构状况分级</t>
  </si>
  <si>
    <t>BSI范围</t>
  </si>
  <si>
    <t>上部结构</t>
  </si>
  <si>
    <t>针对性小修或局部中修工程</t>
  </si>
  <si>
    <t>检测评估后进行局部中修、大修或加固工程</t>
  </si>
  <si>
    <t>下部结构</t>
  </si>
  <si>
    <t>桥台</t>
  </si>
  <si>
    <t>桥墩</t>
  </si>
  <si>
    <t>备注：BCI≥90为A级；90＞BCI≥80为B级；80＞BCI≥66为C级；66＞BCI≥50为D级；50＞BCI为E级。</t>
  </si>
  <si>
    <t>桥梁部位</t>
  </si>
  <si>
    <t>权重</t>
  </si>
  <si>
    <t>技术状况BCI</t>
  </si>
  <si>
    <t>评估等级</t>
  </si>
  <si>
    <t>BSI</t>
  </si>
  <si>
    <t>备注</t>
  </si>
  <si>
    <t>/</t>
  </si>
  <si>
    <t>构件类型</t>
  </si>
  <si>
    <t>第1跨</t>
  </si>
  <si>
    <t>第2跨</t>
  </si>
  <si>
    <t>第3跨</t>
  </si>
  <si>
    <t>第4跨</t>
  </si>
  <si>
    <t>第5跨</t>
  </si>
  <si>
    <t>第6跨</t>
  </si>
  <si>
    <t>第7跨</t>
  </si>
  <si>
    <t>第8跨</t>
  </si>
  <si>
    <t>第9跨</t>
  </si>
  <si>
    <t>第10跨</t>
  </si>
  <si>
    <t>实际权重</t>
  </si>
  <si>
    <t>权重重分配</t>
  </si>
  <si>
    <t>BCIsi</t>
  </si>
  <si>
    <t>总跨数</t>
  </si>
  <si>
    <t>各跨实际代表跨数</t>
  </si>
  <si>
    <t>表格使用方法：
（1）选择“结构类型”，根据批注选择；
（2）各构件根据实际情况进行扣分（注意表格批注），然后将得分手动填写到对应桥跨的表格里；红色区域为手动填写区域；病害类似的桥跨可归为一类，对应跨数根据实际填写；
（3）墩台权重重分配：根据规范和实际，不存在的构件对应“实际权重”一列的“规范权重”为“空”即可。</t>
  </si>
  <si>
    <t>上部结构BCIs</t>
  </si>
  <si>
    <t>上部结构BSIs</t>
  </si>
  <si>
    <t>单项扣分DPij</t>
  </si>
  <si>
    <t>权重ωij</t>
  </si>
  <si>
    <t>μijk</t>
  </si>
  <si>
    <t>max（DPij）</t>
  </si>
  <si>
    <t>SDPh</t>
  </si>
  <si>
    <t>PC或RC梁式构件</t>
  </si>
  <si>
    <t>表面裂缝</t>
  </si>
  <si>
    <t>混凝土剥离</t>
  </si>
  <si>
    <t>露筋锈蚀</t>
  </si>
  <si>
    <t>梁体下挠</t>
  </si>
  <si>
    <t>结构裂缝</t>
  </si>
  <si>
    <t>裂缝处渗水</t>
  </si>
  <si>
    <t>轻微</t>
  </si>
  <si>
    <t>梁体位移</t>
  </si>
  <si>
    <t>横向联系</t>
  </si>
  <si>
    <t>连接件脱焊松动</t>
  </si>
  <si>
    <t>连接件断裂</t>
  </si>
  <si>
    <t>横隔板网裂</t>
  </si>
  <si>
    <t>横隔板剥落</t>
  </si>
  <si>
    <t>&lt;5%</t>
  </si>
  <si>
    <t>梁体异常振动</t>
  </si>
  <si>
    <t>主拱圈</t>
  </si>
  <si>
    <t>主拱圈变形</t>
  </si>
  <si>
    <t>砌体缺损</t>
  </si>
  <si>
    <t>砌体脱落</t>
  </si>
  <si>
    <t>砂浆松动缺失</t>
  </si>
  <si>
    <t>表面风化损坏</t>
  </si>
  <si>
    <t>表面网状裂缝</t>
  </si>
  <si>
    <t>构件断裂</t>
  </si>
  <si>
    <t>节点开裂</t>
  </si>
  <si>
    <t>拱桥
横向联系</t>
  </si>
  <si>
    <t>微弯板网裂</t>
  </si>
  <si>
    <t>微弯板剥落露筋</t>
  </si>
  <si>
    <t>连接件开裂</t>
  </si>
  <si>
    <t>连接件剥落露筋</t>
  </si>
  <si>
    <t>拱上构造（实腹式）</t>
  </si>
  <si>
    <t>表面风化剥落</t>
  </si>
  <si>
    <t>侧墙变形</t>
  </si>
  <si>
    <t>拱上构造（空腹式）</t>
  </si>
  <si>
    <t>腹拱圈变形</t>
  </si>
  <si>
    <t>表面开裂</t>
  </si>
  <si>
    <t>人行天桥
外部装饰板</t>
  </si>
  <si>
    <t>局部变形</t>
  </si>
  <si>
    <t>钢结构物</t>
  </si>
  <si>
    <t>变色起皮</t>
  </si>
  <si>
    <t>&lt;30%</t>
  </si>
  <si>
    <t>油漆剥落</t>
  </si>
  <si>
    <t>一般锈蚀</t>
  </si>
  <si>
    <t>严重锈蚀</t>
  </si>
  <si>
    <t>锈蚀成洞</t>
  </si>
  <si>
    <t>焊缝裂纹</t>
  </si>
  <si>
    <t>焊缝开裂</t>
  </si>
  <si>
    <t>铆钉损失</t>
  </si>
  <si>
    <t>螺栓松动</t>
  </si>
  <si>
    <t>错位变形</t>
  </si>
  <si>
    <t>防落梁装置</t>
  </si>
  <si>
    <t>有无落梁趋势</t>
  </si>
  <si>
    <t>牛腿表面损伤</t>
  </si>
  <si>
    <t>伸缩缝处渗水</t>
  </si>
  <si>
    <t>桥台构件</t>
  </si>
  <si>
    <t>0#桥台</t>
  </si>
  <si>
    <t>n#桥台</t>
  </si>
  <si>
    <t>桥墩构件</t>
  </si>
  <si>
    <t>1#桥墩</t>
  </si>
  <si>
    <t>2#桥墩</t>
  </si>
  <si>
    <t>3#桥墩</t>
  </si>
  <si>
    <t>4#桥墩</t>
  </si>
  <si>
    <t>5#桥墩</t>
  </si>
  <si>
    <t>6#桥墩</t>
  </si>
  <si>
    <t>7#桥墩</t>
  </si>
  <si>
    <t>8#桥墩</t>
  </si>
  <si>
    <t>构件权重</t>
  </si>
  <si>
    <t>BCIxj</t>
  </si>
  <si>
    <t>表格使用方法：
（1）选择“结构类型”；
（2）各构件根据实际情况进行扣分（注意表格批注），然后将得分手动填写到对应墩台构件表格里；红色底纹区域为手动填写区域；病害类似的桥墩构件可以归为一类，对应数量根据实际填写；
（3）墩台权重重分配：根据规范和实际，不存在的构件对应“实际权重”一列的“规范权重”为“空”即可。</t>
  </si>
  <si>
    <t>总台数</t>
  </si>
  <si>
    <t>桥台数量</t>
  </si>
  <si>
    <t>总墩数</t>
  </si>
  <si>
    <t>各墩实际代表桥墩数量</t>
  </si>
  <si>
    <t>桥台BCIx</t>
  </si>
  <si>
    <t>桥墩BCIx</t>
  </si>
  <si>
    <t>下部结构BCIx</t>
  </si>
  <si>
    <t>下部结构BSIx</t>
  </si>
  <si>
    <t>台帽盖梁</t>
  </si>
  <si>
    <t>&lt;1%</t>
  </si>
  <si>
    <t>墩台成块剥落</t>
  </si>
  <si>
    <t>墩台身</t>
  </si>
  <si>
    <t>墩身水平裂缝</t>
  </si>
  <si>
    <t>墩身纵向裂缝</t>
  </si>
  <si>
    <t>框架式节点裂缝</t>
  </si>
  <si>
    <t>桥墩倾斜</t>
  </si>
  <si>
    <t>支座</t>
  </si>
  <si>
    <t>固定螺栓损坏</t>
  </si>
  <si>
    <t>橡胶支座变形</t>
  </si>
  <si>
    <t>钢支座损坏</t>
  </si>
  <si>
    <t>支座底板砼破损</t>
  </si>
  <si>
    <t>支承稳定性异常</t>
  </si>
  <si>
    <t>稳定</t>
  </si>
  <si>
    <t>钢垫板锈蚀</t>
  </si>
  <si>
    <t>基础</t>
  </si>
  <si>
    <t>基础冲刷</t>
  </si>
  <si>
    <t>基础掏空</t>
  </si>
  <si>
    <t>混凝土桩损坏</t>
  </si>
  <si>
    <t>基础位移</t>
  </si>
  <si>
    <t>耳墙翼墙</t>
  </si>
  <si>
    <t>剥离脱落</t>
  </si>
  <si>
    <t>翼墙前结合处开裂</t>
  </si>
  <si>
    <t>挡土功能缺失</t>
  </si>
  <si>
    <t>翼墙大贯通缝</t>
  </si>
  <si>
    <t>拱脚</t>
  </si>
  <si>
    <t>拱脚位移</t>
  </si>
  <si>
    <t>拱脚开裂</t>
  </si>
  <si>
    <t>拱脚残缺</t>
  </si>
  <si>
    <t>人行地下通道评分</t>
  </si>
  <si>
    <t>人行地下通道状况指数PUCI</t>
  </si>
  <si>
    <t>人行地下通道评价等级</t>
  </si>
  <si>
    <t>部位规范权重</t>
  </si>
  <si>
    <t>构件规范权重</t>
  </si>
  <si>
    <t>构件权重重分配</t>
  </si>
  <si>
    <t>部件权重重分配</t>
  </si>
  <si>
    <t>构件得分</t>
  </si>
  <si>
    <t>部位得分</t>
  </si>
  <si>
    <t>部 位</t>
  </si>
  <si>
    <t>评价等级</t>
  </si>
  <si>
    <t>构件评分</t>
  </si>
  <si>
    <t>主体构造物</t>
  </si>
  <si>
    <t>衬砌和挡墙</t>
  </si>
  <si>
    <t>变形缝</t>
  </si>
  <si>
    <t>出入口</t>
  </si>
  <si>
    <t>梯  道</t>
  </si>
  <si>
    <t>道面</t>
  </si>
  <si>
    <t>道  面</t>
  </si>
  <si>
    <t>排水设施</t>
  </si>
  <si>
    <t>附属设施</t>
  </si>
  <si>
    <t>照明设施</t>
  </si>
  <si>
    <t>通风设施</t>
  </si>
  <si>
    <t>雨  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</si>
</sst>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_);[Red]\(0.00\)"/>
    <numFmt numFmtId="178" formatCode="0.00;_ "/>
    <numFmt numFmtId="179" formatCode="0.00_ "/>
  </numFmts>
  <fonts count="47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6"/>
      <color theme="1"/>
      <name val="宋体"/>
      <family val="3"/>
      <charset val="134"/>
    </font>
    <font>
      <b/>
      <sz val="16"/>
      <color theme="1"/>
      <name val="Times New Roman"/>
      <family val="1"/>
    </font>
    <font>
      <sz val="11"/>
      <color theme="1"/>
      <name val="宋体"/>
      <family val="3"/>
      <charset val="134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方正姚体"/>
      <family val="3"/>
      <charset val="134"/>
    </font>
    <font>
      <sz val="10.5"/>
      <color rgb="FFFF0000"/>
      <name val="黑体"/>
      <family val="3"/>
      <charset val="134"/>
    </font>
    <font>
      <b/>
      <sz val="22"/>
      <color theme="1"/>
      <name val="Swis721 BlkCn BT"/>
      <family val="1"/>
    </font>
    <font>
      <sz val="10"/>
      <color rgb="FFFF0000"/>
      <name val="Times New Roman"/>
      <family val="1"/>
    </font>
    <font>
      <sz val="10"/>
      <color theme="1"/>
      <name val="宋体"/>
      <family val="3"/>
      <charset val="134"/>
    </font>
    <font>
      <sz val="10.5"/>
      <color rgb="FFFF0000"/>
      <name val="楷体"/>
      <family val="3"/>
      <charset val="134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9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name val="Times New Roman"/>
      <family val="1"/>
    </font>
    <font>
      <sz val="9"/>
      <color theme="1"/>
      <name val="Times New Roman"/>
      <family val="1"/>
    </font>
    <font>
      <b/>
      <sz val="16"/>
      <color theme="1"/>
      <name val="方正姚体"/>
      <family val="3"/>
      <charset val="134"/>
    </font>
    <font>
      <b/>
      <sz val="26"/>
      <color theme="1"/>
      <name val="Swis721 Blk BT"/>
      <family val="1"/>
    </font>
    <font>
      <sz val="10"/>
      <color rgb="FF002060"/>
      <name val="Times New Roman"/>
      <family val="1"/>
    </font>
    <font>
      <sz val="10"/>
      <color rgb="FFFF0000"/>
      <name val="黑体"/>
      <family val="3"/>
      <charset val="134"/>
    </font>
    <font>
      <b/>
      <sz val="10"/>
      <color theme="1"/>
      <name val="宋体"/>
      <family val="3"/>
      <charset val="134"/>
    </font>
    <font>
      <b/>
      <sz val="18"/>
      <color theme="1"/>
      <name val="方正姚体"/>
      <family val="3"/>
      <charset val="134"/>
    </font>
    <font>
      <b/>
      <sz val="24"/>
      <color theme="1"/>
      <name val="Arial Rounded MT Bold"/>
      <family val="2"/>
    </font>
    <font>
      <sz val="11"/>
      <name val="Times New Roman"/>
      <family val="1"/>
    </font>
    <font>
      <b/>
      <sz val="16"/>
      <name val="宋体"/>
      <family val="3"/>
      <charset val="134"/>
    </font>
    <font>
      <b/>
      <sz val="12"/>
      <name val="Times New Roman"/>
      <family val="1"/>
    </font>
    <font>
      <sz val="10.5"/>
      <name val="Times New Roman"/>
      <family val="1"/>
    </font>
    <font>
      <sz val="10.5"/>
      <name val="宋体"/>
      <family val="3"/>
      <charset val="134"/>
    </font>
    <font>
      <sz val="11"/>
      <name val="宋体"/>
      <family val="3"/>
      <charset val="134"/>
    </font>
    <font>
      <b/>
      <sz val="10.5"/>
      <name val="Times New Roman"/>
      <family val="1"/>
    </font>
    <font>
      <sz val="10.5"/>
      <color theme="1"/>
      <name val="Times New Roman"/>
      <family val="1"/>
    </font>
    <font>
      <sz val="11"/>
      <color rgb="FF002060"/>
      <name val="Times New Roman"/>
      <family val="1"/>
    </font>
    <font>
      <b/>
      <sz val="28"/>
      <color theme="1"/>
      <name val="方正姚体"/>
      <family val="3"/>
      <charset val="134"/>
    </font>
    <font>
      <b/>
      <sz val="22"/>
      <name val="华文新魏"/>
      <family val="3"/>
      <charset val="134"/>
    </font>
    <font>
      <b/>
      <sz val="28"/>
      <color theme="1"/>
      <name val="Swis721 BlkCn BT"/>
      <family val="1"/>
    </font>
    <font>
      <b/>
      <sz val="22"/>
      <color rgb="FF002060"/>
      <name val="华文新魏"/>
      <family val="3"/>
      <charset val="134"/>
    </font>
    <font>
      <sz val="10.5"/>
      <name val="楷体"/>
      <family val="3"/>
      <charset val="134"/>
    </font>
    <font>
      <sz val="10.5"/>
      <color rgb="FF000000"/>
      <name val="宋体"/>
      <family val="3"/>
      <charset val="134"/>
    </font>
    <font>
      <sz val="10.5"/>
      <color rgb="FF000000"/>
      <name val="Times New Roman"/>
      <family val="1"/>
    </font>
    <font>
      <i/>
      <sz val="10.5"/>
      <color rgb="FF000000"/>
      <name val="Times New Roman"/>
      <family val="1"/>
    </font>
    <font>
      <sz val="10.5"/>
      <color theme="1"/>
      <name val="宋体"/>
      <family val="3"/>
      <charset val="134"/>
    </font>
    <font>
      <sz val="10"/>
      <color rgb="FF000000"/>
      <name val="Times New Roman"/>
      <family val="1"/>
    </font>
    <font>
      <i/>
      <sz val="10.5"/>
      <color theme="1"/>
      <name val="Times New Roman"/>
      <family val="1"/>
    </font>
    <font>
      <sz val="9"/>
      <name val="宋体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5117038483843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/>
      <right style="medium">
        <color auto="1"/>
      </right>
      <top style="thick">
        <color auto="1"/>
      </top>
      <bottom style="medium">
        <color auto="1"/>
      </bottom>
      <diagonal/>
    </border>
    <border>
      <left/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ck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/>
      <bottom style="thick">
        <color auto="1"/>
      </bottom>
      <diagonal/>
    </border>
    <border>
      <left/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5" fillId="0" borderId="2" xfId="0" applyNumberFormat="1" applyFont="1" applyBorder="1" applyAlignment="1" applyProtection="1">
      <alignment horizontal="center" vertical="center"/>
      <protection locked="0"/>
    </xf>
    <xf numFmtId="2" fontId="1" fillId="0" borderId="2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 applyProtection="1">
      <alignment horizontal="center" vertical="center"/>
      <protection locked="0"/>
    </xf>
    <xf numFmtId="2" fontId="1" fillId="0" borderId="2" xfId="0" applyNumberFormat="1" applyFont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2" xfId="0" applyFont="1" applyBorder="1" applyAlignment="1" applyProtection="1">
      <alignment horizontal="center" vertical="center"/>
      <protection locked="0"/>
    </xf>
    <xf numFmtId="2" fontId="6" fillId="3" borderId="2" xfId="0" applyNumberFormat="1" applyFont="1" applyFill="1" applyBorder="1" applyAlignment="1" applyProtection="1">
      <alignment horizontal="center" vertical="center"/>
      <protection locked="0"/>
    </xf>
    <xf numFmtId="2" fontId="6" fillId="0" borderId="2" xfId="0" applyNumberFormat="1" applyFont="1" applyBorder="1" applyAlignment="1" applyProtection="1">
      <alignment horizontal="center" vertical="center"/>
      <protection locked="0"/>
    </xf>
    <xf numFmtId="2" fontId="6" fillId="4" borderId="2" xfId="0" applyNumberFormat="1" applyFont="1" applyFill="1" applyBorder="1" applyAlignment="1" applyProtection="1">
      <alignment horizontal="center" vertical="center"/>
      <protection locked="0"/>
    </xf>
    <xf numFmtId="2" fontId="6" fillId="0" borderId="2" xfId="0" applyNumberFormat="1" applyFont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176" fontId="6" fillId="2" borderId="0" xfId="0" applyNumberFormat="1" applyFont="1" applyFill="1" applyAlignment="1">
      <alignment horizontal="center" vertical="center"/>
    </xf>
    <xf numFmtId="2" fontId="6" fillId="2" borderId="0" xfId="0" applyNumberFormat="1" applyFont="1" applyFill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0" fontId="9" fillId="2" borderId="0" xfId="0" applyFont="1" applyFill="1" applyAlignment="1" applyProtection="1">
      <alignment horizontal="center" vertical="center"/>
      <protection locked="0"/>
    </xf>
    <xf numFmtId="2" fontId="10" fillId="2" borderId="0" xfId="0" applyNumberFormat="1" applyFont="1" applyFill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3" borderId="2" xfId="0" applyFont="1" applyFill="1" applyBorder="1" applyAlignment="1" applyProtection="1">
      <alignment horizontal="center" vertical="center"/>
      <protection locked="0"/>
    </xf>
    <xf numFmtId="0" fontId="6" fillId="3" borderId="5" xfId="0" applyFont="1" applyFill="1" applyBorder="1" applyAlignment="1" applyProtection="1">
      <alignment horizontal="center" vertical="center"/>
      <protection locked="0"/>
    </xf>
    <xf numFmtId="0" fontId="12" fillId="2" borderId="0" xfId="0" applyFont="1" applyFill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vertical="center"/>
    </xf>
    <xf numFmtId="0" fontId="14" fillId="10" borderId="2" xfId="0" applyFont="1" applyFill="1" applyBorder="1" applyAlignment="1">
      <alignment horizontal="center" vertical="center" wrapText="1"/>
    </xf>
    <xf numFmtId="0" fontId="15" fillId="10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3" borderId="2" xfId="0" applyFont="1" applyFill="1" applyBorder="1" applyAlignment="1" applyProtection="1">
      <alignment horizontal="center" vertical="center"/>
      <protection locked="0"/>
    </xf>
    <xf numFmtId="2" fontId="6" fillId="0" borderId="2" xfId="0" applyNumberFormat="1" applyFont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 applyProtection="1">
      <alignment horizontal="center" vertical="center" wrapText="1"/>
      <protection locked="0"/>
    </xf>
    <xf numFmtId="0" fontId="18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0" fontId="14" fillId="9" borderId="2" xfId="0" applyFont="1" applyFill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2" fontId="10" fillId="4" borderId="2" xfId="0" applyNumberFormat="1" applyFont="1" applyFill="1" applyBorder="1" applyAlignment="1" applyProtection="1">
      <alignment horizontal="center" vertical="center" wrapText="1"/>
      <protection locked="0"/>
    </xf>
    <xf numFmtId="0" fontId="23" fillId="12" borderId="2" xfId="0" applyFont="1" applyFill="1" applyBorder="1" applyAlignment="1">
      <alignment horizontal="center" vertical="center" wrapText="1"/>
    </xf>
    <xf numFmtId="0" fontId="14" fillId="12" borderId="2" xfId="0" applyFont="1" applyFill="1" applyBorder="1" applyAlignment="1">
      <alignment horizontal="center" vertical="center" wrapText="1"/>
    </xf>
    <xf numFmtId="9" fontId="6" fillId="4" borderId="2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 applyProtection="1">
      <alignment horizontal="center" vertical="center" wrapText="1"/>
      <protection locked="0"/>
    </xf>
    <xf numFmtId="2" fontId="10" fillId="2" borderId="0" xfId="0" applyNumberFormat="1" applyFont="1" applyFill="1" applyAlignment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>
      <alignment horizontal="center" vertical="center" wrapText="1"/>
    </xf>
    <xf numFmtId="0" fontId="6" fillId="4" borderId="3" xfId="0" applyFont="1" applyFill="1" applyBorder="1" applyAlignment="1" applyProtection="1">
      <alignment horizontal="center" vertical="center" wrapText="1"/>
      <protection locked="0"/>
    </xf>
    <xf numFmtId="0" fontId="6" fillId="4" borderId="3" xfId="0" applyFont="1" applyFill="1" applyBorder="1" applyAlignment="1">
      <alignment horizontal="center" vertical="center" wrapText="1"/>
    </xf>
    <xf numFmtId="0" fontId="26" fillId="2" borderId="0" xfId="0" applyFont="1" applyFill="1"/>
    <xf numFmtId="0" fontId="26" fillId="0" borderId="0" xfId="0" applyFont="1"/>
    <xf numFmtId="0" fontId="26" fillId="0" borderId="0" xfId="0" applyFont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 wrapText="1"/>
    </xf>
    <xf numFmtId="0" fontId="31" fillId="14" borderId="2" xfId="0" applyFont="1" applyFill="1" applyBorder="1" applyAlignment="1">
      <alignment horizontal="center" vertical="center"/>
    </xf>
    <xf numFmtId="0" fontId="26" fillId="14" borderId="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1" fontId="33" fillId="0" borderId="2" xfId="0" applyNumberFormat="1" applyFont="1" applyBorder="1" applyAlignment="1">
      <alignment horizontal="center" vertical="center" wrapText="1"/>
    </xf>
    <xf numFmtId="0" fontId="34" fillId="2" borderId="0" xfId="0" applyFont="1" applyFill="1"/>
    <xf numFmtId="0" fontId="31" fillId="0" borderId="2" xfId="0" applyFont="1" applyBorder="1" applyAlignment="1">
      <alignment horizontal="center" vertical="center" wrapText="1"/>
    </xf>
    <xf numFmtId="0" fontId="31" fillId="2" borderId="0" xfId="0" applyFont="1" applyFill="1"/>
    <xf numFmtId="0" fontId="34" fillId="2" borderId="0" xfId="0" applyFont="1" applyFill="1" applyAlignment="1">
      <alignment horizontal="center" vertical="center"/>
    </xf>
    <xf numFmtId="0" fontId="38" fillId="2" borderId="0" xfId="0" applyFont="1" applyFill="1" applyAlignment="1">
      <alignment vertical="center" wrapText="1"/>
    </xf>
    <xf numFmtId="0" fontId="26" fillId="2" borderId="0" xfId="0" applyFont="1" applyFill="1" applyAlignment="1">
      <alignment horizontal="center" vertical="center"/>
    </xf>
    <xf numFmtId="0" fontId="40" fillId="0" borderId="16" xfId="0" applyFont="1" applyBorder="1" applyAlignment="1">
      <alignment horizontal="center" wrapText="1"/>
    </xf>
    <xf numFmtId="0" fontId="40" fillId="0" borderId="17" xfId="0" applyFont="1" applyBorder="1" applyAlignment="1">
      <alignment horizontal="center" wrapText="1"/>
    </xf>
    <xf numFmtId="0" fontId="41" fillId="0" borderId="17" xfId="0" applyFont="1" applyBorder="1" applyAlignment="1">
      <alignment horizontal="center" wrapText="1"/>
    </xf>
    <xf numFmtId="0" fontId="40" fillId="0" borderId="18" xfId="0" applyFont="1" applyBorder="1" applyAlignment="1">
      <alignment horizontal="center" wrapText="1"/>
    </xf>
    <xf numFmtId="0" fontId="40" fillId="0" borderId="19" xfId="0" applyFont="1" applyBorder="1" applyAlignment="1">
      <alignment horizontal="center" wrapText="1"/>
    </xf>
    <xf numFmtId="178" fontId="41" fillId="0" borderId="20" xfId="0" applyNumberFormat="1" applyFont="1" applyBorder="1" applyAlignment="1">
      <alignment horizontal="center" wrapText="1"/>
    </xf>
    <xf numFmtId="2" fontId="41" fillId="0" borderId="20" xfId="0" applyNumberFormat="1" applyFont="1" applyBorder="1" applyAlignment="1">
      <alignment horizontal="center" wrapText="1"/>
    </xf>
    <xf numFmtId="0" fontId="42" fillId="0" borderId="21" xfId="0" applyFont="1" applyBorder="1" applyAlignment="1">
      <alignment horizontal="center" wrapText="1"/>
    </xf>
    <xf numFmtId="0" fontId="40" fillId="0" borderId="19" xfId="0" applyFont="1" applyBorder="1" applyAlignment="1">
      <alignment horizontal="center" vertical="center" wrapText="1"/>
    </xf>
    <xf numFmtId="0" fontId="40" fillId="0" borderId="24" xfId="0" applyFont="1" applyBorder="1" applyAlignment="1">
      <alignment horizontal="center" vertical="center" wrapText="1"/>
    </xf>
    <xf numFmtId="0" fontId="26" fillId="2" borderId="0" xfId="0" applyFont="1" applyFill="1" applyAlignment="1">
      <alignment horizontal="center" vertical="center" wrapText="1"/>
    </xf>
    <xf numFmtId="0" fontId="43" fillId="0" borderId="16" xfId="0" applyFont="1" applyBorder="1" applyAlignment="1">
      <alignment horizontal="center" wrapText="1"/>
    </xf>
    <xf numFmtId="0" fontId="33" fillId="0" borderId="17" xfId="0" applyFont="1" applyBorder="1" applyAlignment="1">
      <alignment horizontal="center" wrapText="1"/>
    </xf>
    <xf numFmtId="0" fontId="43" fillId="0" borderId="17" xfId="0" applyFont="1" applyBorder="1" applyAlignment="1">
      <alignment horizontal="center" wrapText="1"/>
    </xf>
    <xf numFmtId="0" fontId="43" fillId="0" borderId="18" xfId="0" applyFont="1" applyBorder="1" applyAlignment="1">
      <alignment horizontal="center" wrapText="1"/>
    </xf>
    <xf numFmtId="0" fontId="43" fillId="0" borderId="19" xfId="0" applyFont="1" applyBorder="1" applyAlignment="1">
      <alignment horizontal="center" wrapText="1"/>
    </xf>
    <xf numFmtId="179" fontId="44" fillId="0" borderId="20" xfId="0" applyNumberFormat="1" applyFont="1" applyBorder="1" applyAlignment="1">
      <alignment horizontal="center" vertical="center" wrapText="1"/>
    </xf>
    <xf numFmtId="0" fontId="45" fillId="0" borderId="20" xfId="0" applyFont="1" applyBorder="1" applyAlignment="1">
      <alignment horizontal="center" wrapText="1"/>
    </xf>
    <xf numFmtId="0" fontId="43" fillId="0" borderId="21" xfId="0" applyFont="1" applyBorder="1" applyAlignment="1">
      <alignment horizontal="center" wrapText="1"/>
    </xf>
    <xf numFmtId="2" fontId="33" fillId="0" borderId="20" xfId="0" applyNumberFormat="1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wrapText="1"/>
    </xf>
    <xf numFmtId="0" fontId="26" fillId="2" borderId="0" xfId="0" applyFont="1" applyFill="1" applyAlignment="1">
      <alignment vertical="top"/>
    </xf>
    <xf numFmtId="0" fontId="43" fillId="0" borderId="24" xfId="0" applyFont="1" applyBorder="1" applyAlignment="1">
      <alignment horizontal="center" wrapText="1"/>
    </xf>
    <xf numFmtId="2" fontId="33" fillId="0" borderId="27" xfId="0" applyNumberFormat="1" applyFont="1" applyBorder="1" applyAlignment="1">
      <alignment horizontal="center" vertical="center" wrapText="1"/>
    </xf>
    <xf numFmtId="0" fontId="33" fillId="0" borderId="28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10" xfId="0" applyBorder="1"/>
    <xf numFmtId="0" fontId="0" fillId="0" borderId="4" xfId="0" applyBorder="1"/>
    <xf numFmtId="2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6" xfId="0" applyBorder="1"/>
    <xf numFmtId="1" fontId="6" fillId="0" borderId="2" xfId="0" applyNumberFormat="1" applyFont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22" fillId="0" borderId="2" xfId="0" applyFont="1" applyBorder="1" applyAlignment="1">
      <alignment horizontal="left" vertical="center" wrapText="1"/>
    </xf>
    <xf numFmtId="0" fontId="0" fillId="0" borderId="11" xfId="0" applyBorder="1"/>
    <xf numFmtId="0" fontId="6" fillId="0" borderId="0" xfId="0" applyFont="1" applyAlignment="1">
      <alignment horizontal="center" vertical="center" wrapText="1"/>
    </xf>
    <xf numFmtId="0" fontId="0" fillId="0" borderId="12" xfId="0" applyBorder="1"/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6" fillId="0" borderId="2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179" fontId="14" fillId="11" borderId="2" xfId="0" applyNumberFormat="1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 wrapText="1"/>
    </xf>
    <xf numFmtId="2" fontId="17" fillId="0" borderId="2" xfId="0" applyNumberFormat="1" applyFont="1" applyBorder="1" applyAlignment="1">
      <alignment horizontal="center" vertical="center" wrapText="1"/>
    </xf>
    <xf numFmtId="0" fontId="37" fillId="5" borderId="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0" xfId="0" applyProtection="1"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0" fillId="0" borderId="1" xfId="0" applyBorder="1" applyProtection="1">
      <protection locked="0"/>
    </xf>
    <xf numFmtId="0" fontId="0" fillId="0" borderId="14" xfId="0" applyBorder="1" applyProtection="1">
      <protection locked="0"/>
    </xf>
    <xf numFmtId="176" fontId="32" fillId="0" borderId="5" xfId="0" applyNumberFormat="1" applyFont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center" vertical="center" wrapText="1"/>
    </xf>
    <xf numFmtId="0" fontId="26" fillId="0" borderId="0" xfId="0" applyFont="1"/>
    <xf numFmtId="0" fontId="29" fillId="0" borderId="5" xfId="0" applyFont="1" applyBorder="1" applyAlignment="1">
      <alignment horizontal="center" vertical="center" wrapText="1"/>
    </xf>
    <xf numFmtId="0" fontId="42" fillId="0" borderId="30" xfId="0" applyFont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32" fillId="0" borderId="2" xfId="0" applyFont="1" applyBorder="1" applyAlignment="1">
      <alignment horizontal="center" vertical="center" wrapText="1"/>
    </xf>
    <xf numFmtId="0" fontId="29" fillId="0" borderId="3" xfId="0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2" fontId="29" fillId="0" borderId="2" xfId="0" applyNumberFormat="1" applyFont="1" applyBorder="1" applyAlignment="1">
      <alignment horizontal="center" vertical="center" wrapText="1"/>
    </xf>
    <xf numFmtId="176" fontId="41" fillId="0" borderId="29" xfId="0" applyNumberFormat="1" applyFont="1" applyBorder="1" applyAlignment="1">
      <alignment horizontal="center" vertical="center" wrapText="1"/>
    </xf>
    <xf numFmtId="0" fontId="0" fillId="0" borderId="22" xfId="0" applyBorder="1"/>
    <xf numFmtId="0" fontId="0" fillId="0" borderId="23" xfId="0" applyBorder="1"/>
    <xf numFmtId="0" fontId="27" fillId="0" borderId="2" xfId="0" applyFont="1" applyBorder="1" applyAlignment="1">
      <alignment horizontal="center" vertical="center"/>
    </xf>
    <xf numFmtId="0" fontId="39" fillId="0" borderId="2" xfId="0" applyFont="1" applyBorder="1" applyAlignment="1">
      <alignment horizontal="left" vertical="center" wrapText="1"/>
    </xf>
    <xf numFmtId="0" fontId="26" fillId="14" borderId="2" xfId="0" applyFont="1" applyFill="1" applyBorder="1" applyAlignment="1">
      <alignment horizontal="center" vertical="center" wrapText="1"/>
    </xf>
    <xf numFmtId="0" fontId="36" fillId="2" borderId="0" xfId="0" applyFont="1" applyFill="1" applyAlignment="1">
      <alignment horizontal="center" vertical="center" wrapText="1"/>
    </xf>
    <xf numFmtId="0" fontId="26" fillId="2" borderId="0" xfId="0" applyFont="1" applyFill="1"/>
    <xf numFmtId="2" fontId="6" fillId="0" borderId="2" xfId="0" applyNumberFormat="1" applyFont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0" fillId="5" borderId="2" xfId="0" applyFont="1" applyFill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horizontal="left" vertical="top" wrapText="1"/>
    </xf>
    <xf numFmtId="2" fontId="3" fillId="0" borderId="2" xfId="0" applyNumberFormat="1" applyFont="1" applyBorder="1" applyAlignment="1">
      <alignment horizontal="center" vertical="center"/>
    </xf>
    <xf numFmtId="2" fontId="6" fillId="8" borderId="2" xfId="0" applyNumberFormat="1" applyFont="1" applyFill="1" applyBorder="1" applyAlignment="1">
      <alignment horizontal="center" vertical="center"/>
    </xf>
    <xf numFmtId="2" fontId="6" fillId="9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1" fontId="6" fillId="0" borderId="3" xfId="0" applyNumberFormat="1" applyFont="1" applyBorder="1" applyAlignment="1">
      <alignment horizontal="center" vertical="center"/>
    </xf>
    <xf numFmtId="0" fontId="9" fillId="5" borderId="2" xfId="0" applyFont="1" applyFill="1" applyBorder="1" applyAlignment="1" applyProtection="1">
      <alignment horizontal="center" vertical="center"/>
      <protection locked="0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176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1" fillId="0" borderId="2" xfId="0" applyFont="1" applyBorder="1" applyAlignment="1">
      <alignment horizontal="center" vertical="center" wrapText="1"/>
    </xf>
    <xf numFmtId="0" fontId="0" fillId="0" borderId="10" xfId="0" applyBorder="1" applyProtection="1">
      <protection locked="0"/>
    </xf>
    <xf numFmtId="0" fontId="2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V179"/>
  <sheetViews>
    <sheetView zoomScale="85" zoomScaleNormal="85" workbookViewId="0">
      <selection activeCell="G33" sqref="G33"/>
    </sheetView>
  </sheetViews>
  <sheetFormatPr defaultColWidth="9" defaultRowHeight="18" customHeight="1"/>
  <cols>
    <col min="1" max="1" width="10.90625" style="66" customWidth="1"/>
    <col min="2" max="2" width="10.453125" style="66" customWidth="1"/>
    <col min="3" max="4" width="12.7265625" style="66" customWidth="1"/>
    <col min="5" max="5" width="10.26953125" style="66" customWidth="1"/>
    <col min="6" max="6" width="12.36328125" style="66" customWidth="1"/>
    <col min="7" max="7" width="6.7265625" style="66" customWidth="1"/>
    <col min="8" max="8" width="8.36328125" style="67" customWidth="1"/>
    <col min="9" max="9" width="1.90625" style="65" customWidth="1"/>
    <col min="10" max="10" width="5.90625" style="66" customWidth="1"/>
    <col min="11" max="11" width="8.453125" style="66" customWidth="1"/>
    <col min="12" max="12" width="9.7265625" style="66" customWidth="1"/>
    <col min="13" max="13" width="36.90625" style="66" customWidth="1"/>
    <col min="14" max="14" width="1.7265625" style="65" customWidth="1"/>
    <col min="15" max="15" width="6" style="65" customWidth="1"/>
    <col min="16" max="16" width="9" style="65" customWidth="1"/>
    <col min="17" max="17" width="9.6328125" style="65" customWidth="1"/>
    <col min="18" max="18" width="37.453125" style="65" customWidth="1"/>
    <col min="19" max="22" width="9" style="65" customWidth="1"/>
    <col min="23" max="24" width="9" style="66" customWidth="1"/>
    <col min="25" max="16384" width="9" style="66"/>
  </cols>
  <sheetData>
    <row r="1" spans="1:18" ht="24.75" customHeight="1">
      <c r="A1" s="157" t="s">
        <v>68</v>
      </c>
      <c r="B1" s="114"/>
      <c r="C1" s="114"/>
      <c r="D1" s="114"/>
      <c r="E1" s="114"/>
      <c r="F1" s="114"/>
      <c r="G1" s="115"/>
      <c r="J1" s="152" t="s">
        <v>69</v>
      </c>
      <c r="K1" s="125"/>
      <c r="L1" s="125"/>
      <c r="M1" s="125"/>
    </row>
    <row r="2" spans="1:18" ht="14.5" customHeight="1">
      <c r="A2" s="145" t="s">
        <v>70</v>
      </c>
      <c r="B2" s="114"/>
      <c r="C2" s="114"/>
      <c r="D2" s="151" t="s">
        <v>71</v>
      </c>
      <c r="E2" s="115"/>
      <c r="F2" s="151" t="s">
        <v>72</v>
      </c>
      <c r="G2" s="115"/>
      <c r="H2" s="159" t="s">
        <v>73</v>
      </c>
      <c r="J2" s="70" t="s">
        <v>74</v>
      </c>
      <c r="K2" s="70" t="s">
        <v>75</v>
      </c>
      <c r="L2" s="71" t="s">
        <v>76</v>
      </c>
      <c r="M2" s="70" t="s">
        <v>77</v>
      </c>
    </row>
    <row r="3" spans="1:18" ht="14.5" customHeight="1">
      <c r="A3" s="142">
        <f>B5*H5+B11*H11+B17*H17</f>
        <v>97.522222222222211</v>
      </c>
      <c r="B3" s="114"/>
      <c r="C3" s="114"/>
      <c r="D3" s="149" t="str">
        <f>IF(A3&lt;50,"E级",IF(A3&lt;66,"D级",IF(A3&lt;80,"C级",IF(A3&lt;90,"B级",IF(A3&lt;=100,"A级")))))</f>
        <v>A级</v>
      </c>
      <c r="E3" s="115"/>
      <c r="F3" s="149" t="str">
        <f>IF(D3="E级","危险",IF(D3="D级","不合格",IF(D3="C级","合格",IF(D3="B级","良好",IF(D3="A级","完好")))))</f>
        <v>完好</v>
      </c>
      <c r="G3" s="115"/>
      <c r="H3" s="108"/>
      <c r="J3" s="72" t="s">
        <v>78</v>
      </c>
      <c r="K3" s="73" t="s">
        <v>59</v>
      </c>
      <c r="L3" s="72" t="s">
        <v>79</v>
      </c>
      <c r="M3" s="73" t="s">
        <v>80</v>
      </c>
    </row>
    <row r="4" spans="1:18" ht="14.5" customHeight="1">
      <c r="A4" s="69" t="s">
        <v>81</v>
      </c>
      <c r="B4" s="68" t="s">
        <v>82</v>
      </c>
      <c r="C4" s="69" t="s">
        <v>74</v>
      </c>
      <c r="D4" s="68" t="s">
        <v>83</v>
      </c>
      <c r="E4" s="150" t="s">
        <v>84</v>
      </c>
      <c r="F4" s="119"/>
      <c r="G4" s="74" t="s">
        <v>4</v>
      </c>
      <c r="H4" s="109"/>
      <c r="J4" s="72" t="s">
        <v>85</v>
      </c>
      <c r="K4" s="73" t="s">
        <v>86</v>
      </c>
      <c r="L4" s="72" t="s">
        <v>87</v>
      </c>
      <c r="M4" s="73" t="s">
        <v>88</v>
      </c>
    </row>
    <row r="5" spans="1:18" ht="14.5" customHeight="1">
      <c r="A5" s="131" t="s">
        <v>89</v>
      </c>
      <c r="B5" s="153">
        <f>桥面系评分!G3</f>
        <v>84.666666666666657</v>
      </c>
      <c r="C5" s="131" t="str">
        <f>IF(B5&lt;50,"E级",IF(B5&lt;66,"D级",IF(B5&lt;80,"C级",IF(B5&lt;90,"B级",IF(B5&lt;=100,"A级")))))</f>
        <v>B级</v>
      </c>
      <c r="D5" s="131" t="str">
        <f>IF(C5="E级","危险",IF(C5="D级","不合格",IF(C5="C级","合格",IF(C5="B级","良好",IF(C5="A级","完好")))))</f>
        <v>良好</v>
      </c>
      <c r="E5" s="131" t="str">
        <f>桥面系评分!B3</f>
        <v>桥面铺装</v>
      </c>
      <c r="F5" s="115"/>
      <c r="G5" s="75">
        <f>桥面系评分!C3</f>
        <v>75</v>
      </c>
      <c r="H5" s="132" t="str">
        <f>IF($J$18=1,"0.15",IF($J$18=2,"0.10",IF($J$18=3,"0.15")))</f>
        <v>0.15</v>
      </c>
      <c r="J5" s="72" t="s">
        <v>90</v>
      </c>
      <c r="K5" s="73" t="s">
        <v>91</v>
      </c>
      <c r="L5" s="72" t="s">
        <v>92</v>
      </c>
      <c r="M5" s="73" t="s">
        <v>93</v>
      </c>
    </row>
    <row r="6" spans="1:18" ht="14.5" customHeight="1">
      <c r="A6" s="108"/>
      <c r="B6" s="108"/>
      <c r="C6" s="108"/>
      <c r="D6" s="108"/>
      <c r="E6" s="131" t="str">
        <f>桥面系评分!B4</f>
        <v>栏杆或护栏</v>
      </c>
      <c r="F6" s="115"/>
      <c r="G6" s="75">
        <f>桥面系评分!C4</f>
        <v>60</v>
      </c>
      <c r="H6" s="108"/>
      <c r="J6" s="72" t="s">
        <v>94</v>
      </c>
      <c r="K6" s="73" t="s">
        <v>95</v>
      </c>
      <c r="L6" s="72" t="s">
        <v>96</v>
      </c>
      <c r="M6" s="73" t="s">
        <v>97</v>
      </c>
    </row>
    <row r="7" spans="1:18" ht="14.5" customHeight="1">
      <c r="A7" s="108"/>
      <c r="B7" s="108"/>
      <c r="C7" s="108"/>
      <c r="D7" s="108"/>
      <c r="E7" s="131" t="str">
        <f>桥面系评分!B5</f>
        <v>伸缩装置</v>
      </c>
      <c r="F7" s="115"/>
      <c r="G7" s="75">
        <f>桥面系评分!C5</f>
        <v>100</v>
      </c>
      <c r="H7" s="108"/>
      <c r="J7" s="72" t="s">
        <v>98</v>
      </c>
      <c r="K7" s="73" t="s">
        <v>99</v>
      </c>
      <c r="L7" s="72" t="s">
        <v>100</v>
      </c>
      <c r="M7" s="73" t="s">
        <v>101</v>
      </c>
    </row>
    <row r="8" spans="1:18" ht="15" customHeight="1">
      <c r="A8" s="108"/>
      <c r="B8" s="108"/>
      <c r="C8" s="108"/>
      <c r="D8" s="108"/>
      <c r="E8" s="131" t="str">
        <f>桥面系评分!B6</f>
        <v>排水系统</v>
      </c>
      <c r="F8" s="115"/>
      <c r="G8" s="75">
        <f>桥面系评分!C6</f>
        <v>100</v>
      </c>
      <c r="H8" s="108"/>
      <c r="J8" s="152" t="s">
        <v>102</v>
      </c>
      <c r="K8" s="125"/>
      <c r="L8" s="125"/>
      <c r="M8" s="125"/>
      <c r="N8" s="76"/>
      <c r="R8" s="76"/>
    </row>
    <row r="9" spans="1:18" ht="14.5" customHeight="1">
      <c r="A9" s="108"/>
      <c r="B9" s="108"/>
      <c r="C9" s="108"/>
      <c r="D9" s="108"/>
      <c r="E9" s="131" t="str">
        <f>桥面系评分!B7</f>
        <v>桥头平顺</v>
      </c>
      <c r="F9" s="115"/>
      <c r="G9" s="75">
        <f>桥面系评分!C7</f>
        <v>100</v>
      </c>
      <c r="H9" s="108"/>
      <c r="J9" s="70" t="s">
        <v>74</v>
      </c>
      <c r="K9" s="70" t="s">
        <v>75</v>
      </c>
      <c r="L9" s="71" t="s">
        <v>103</v>
      </c>
      <c r="M9" s="70" t="s">
        <v>77</v>
      </c>
      <c r="N9" s="76"/>
      <c r="R9" s="76"/>
    </row>
    <row r="10" spans="1:18" ht="14.5" customHeight="1">
      <c r="A10" s="109"/>
      <c r="B10" s="109"/>
      <c r="C10" s="109"/>
      <c r="D10" s="109"/>
      <c r="E10" s="131" t="str">
        <f>桥面系评分!B8</f>
        <v>人行道</v>
      </c>
      <c r="F10" s="115"/>
      <c r="G10" s="75">
        <f>桥面系评分!C8</f>
        <v>100</v>
      </c>
      <c r="H10" s="109"/>
      <c r="J10" s="72" t="s">
        <v>78</v>
      </c>
      <c r="K10" s="73" t="s">
        <v>59</v>
      </c>
      <c r="L10" s="72" t="s">
        <v>79</v>
      </c>
      <c r="M10" s="73" t="s">
        <v>80</v>
      </c>
      <c r="N10" s="76"/>
      <c r="R10" s="76"/>
    </row>
    <row r="11" spans="1:18" ht="14.5" customHeight="1">
      <c r="A11" s="131" t="s">
        <v>104</v>
      </c>
      <c r="B11" s="153">
        <f>上部结构评分!B12</f>
        <v>99.555555555555557</v>
      </c>
      <c r="C11" s="131" t="str">
        <f>IF(B11&lt;50,"E级",IF(B11&lt;66,"D级",IF(B11&lt;80,"C级",IF(B11&lt;90,"B级",IF(B11&lt;=100,"A级")))))</f>
        <v>A级</v>
      </c>
      <c r="D11" s="131" t="str">
        <f>IF(C11="E级","危险",IF(C11="D级","不合格",IF(C11="C级","合格",IF(C11="B级","良好",IF(C11="A级","完好")))))</f>
        <v>完好</v>
      </c>
      <c r="E11" s="131" t="str">
        <f>上部结构评分!O2</f>
        <v>主梁</v>
      </c>
      <c r="F11" s="115"/>
      <c r="G11" s="75">
        <f>上部结构评分!P2</f>
        <v>100</v>
      </c>
      <c r="H11" s="132" t="str">
        <f>IF($J$18=1,"0.40",IF($J$18=2,"0.45",IF($J$18=3,"0.45")))</f>
        <v>0.40</v>
      </c>
      <c r="J11" s="72" t="s">
        <v>85</v>
      </c>
      <c r="K11" s="73" t="s">
        <v>86</v>
      </c>
      <c r="L11" s="72" t="s">
        <v>87</v>
      </c>
      <c r="M11" s="73" t="s">
        <v>88</v>
      </c>
      <c r="N11" s="76"/>
      <c r="R11" s="76"/>
    </row>
    <row r="12" spans="1:18" ht="14.5" customHeight="1">
      <c r="A12" s="108"/>
      <c r="B12" s="108"/>
      <c r="C12" s="108"/>
      <c r="D12" s="108"/>
      <c r="E12" s="131" t="str">
        <f>上部结构评分!O3</f>
        <v>横向联系</v>
      </c>
      <c r="F12" s="115"/>
      <c r="G12" s="75">
        <f>上部结构评分!P3</f>
        <v>98.888888888888886</v>
      </c>
      <c r="H12" s="108"/>
      <c r="J12" s="72" t="s">
        <v>90</v>
      </c>
      <c r="K12" s="73" t="s">
        <v>91</v>
      </c>
      <c r="L12" s="72" t="s">
        <v>92</v>
      </c>
      <c r="M12" s="73" t="s">
        <v>105</v>
      </c>
      <c r="N12" s="76"/>
      <c r="R12" s="76"/>
    </row>
    <row r="13" spans="1:18" ht="14.5" customHeight="1">
      <c r="A13" s="108"/>
      <c r="B13" s="108"/>
      <c r="C13" s="108"/>
      <c r="D13" s="108"/>
      <c r="E13" s="131" t="str">
        <f>上部结构评分!O4</f>
        <v>无</v>
      </c>
      <c r="F13" s="115"/>
      <c r="G13" s="75">
        <f>上部结构评分!P4</f>
        <v>0</v>
      </c>
      <c r="H13" s="108"/>
      <c r="J13" s="72" t="s">
        <v>94</v>
      </c>
      <c r="K13" s="73" t="s">
        <v>95</v>
      </c>
      <c r="L13" s="72" t="s">
        <v>96</v>
      </c>
      <c r="M13" s="73" t="s">
        <v>106</v>
      </c>
      <c r="N13" s="76"/>
      <c r="R13" s="76"/>
    </row>
    <row r="14" spans="1:18" ht="14.5" customHeight="1">
      <c r="A14" s="108"/>
      <c r="B14" s="108"/>
      <c r="C14" s="108"/>
      <c r="D14" s="108"/>
      <c r="E14" s="131" t="str">
        <f>上部结构评分!O5</f>
        <v>无</v>
      </c>
      <c r="F14" s="115"/>
      <c r="G14" s="75">
        <f>上部结构评分!P5</f>
        <v>0</v>
      </c>
      <c r="H14" s="108"/>
      <c r="J14" s="72" t="s">
        <v>98</v>
      </c>
      <c r="K14" s="73" t="s">
        <v>99</v>
      </c>
      <c r="L14" s="72" t="s">
        <v>100</v>
      </c>
      <c r="M14" s="73" t="s">
        <v>101</v>
      </c>
      <c r="N14" s="76"/>
      <c r="R14" s="76"/>
    </row>
    <row r="15" spans="1:18" ht="14.5" customHeight="1">
      <c r="A15" s="108"/>
      <c r="B15" s="108"/>
      <c r="C15" s="108"/>
      <c r="D15" s="108"/>
      <c r="E15" s="131" t="str">
        <f>上部结构评分!O6</f>
        <v>无</v>
      </c>
      <c r="F15" s="115"/>
      <c r="G15" s="75">
        <f>上部结构评分!P6</f>
        <v>0</v>
      </c>
      <c r="H15" s="108"/>
      <c r="J15" s="143" t="s">
        <v>28</v>
      </c>
      <c r="K15" s="118"/>
      <c r="L15" s="119"/>
      <c r="M15" s="76"/>
      <c r="N15" s="76"/>
      <c r="O15" s="160"/>
      <c r="P15" s="161"/>
      <c r="Q15" s="161"/>
      <c r="R15" s="76"/>
    </row>
    <row r="16" spans="1:18" ht="14.5" customHeight="1">
      <c r="A16" s="109"/>
      <c r="B16" s="109"/>
      <c r="C16" s="109"/>
      <c r="D16" s="109"/>
      <c r="E16" s="131" t="str">
        <f>上部结构评分!O7</f>
        <v>无</v>
      </c>
      <c r="F16" s="115"/>
      <c r="G16" s="75">
        <f>上部结构评分!P7</f>
        <v>0</v>
      </c>
      <c r="H16" s="109"/>
      <c r="J16" s="121"/>
      <c r="K16" s="144"/>
      <c r="L16" s="123"/>
      <c r="M16" s="76"/>
      <c r="N16" s="76"/>
      <c r="O16" s="161"/>
      <c r="P16" s="161"/>
      <c r="Q16" s="161"/>
      <c r="R16" s="76"/>
    </row>
    <row r="17" spans="1:18" ht="14.5" customHeight="1">
      <c r="A17" s="131" t="s">
        <v>107</v>
      </c>
      <c r="B17" s="153">
        <f>下部结构评分!H11</f>
        <v>100</v>
      </c>
      <c r="C17" s="131" t="str">
        <f>IF(B17&lt;50,"E级",IF(B17&lt;66,"D级",IF(B17&lt;80,"C级",IF(B17&lt;90,"B级",IF(B17&lt;=100,"A级")))))</f>
        <v>A级</v>
      </c>
      <c r="D17" s="131" t="str">
        <f>IF(C17="E级","危险",IF(C17="D级","不合格",IF(C17="C级","合格",IF(C17="B级","良好",IF(C17="A级","完好")))))</f>
        <v>完好</v>
      </c>
      <c r="E17" s="131" t="s">
        <v>108</v>
      </c>
      <c r="F17" s="77" t="str">
        <f>下部结构评分!P2</f>
        <v>台帽</v>
      </c>
      <c r="G17" s="75">
        <f>下部结构评分!Q2</f>
        <v>100</v>
      </c>
      <c r="H17" s="132" t="str">
        <f>IF($J$18=1,"0.45",IF($J$18=2,"0.45",IF($J$18=3,"0.40")))</f>
        <v>0.45</v>
      </c>
      <c r="I17" s="78"/>
      <c r="J17" s="124"/>
      <c r="K17" s="125"/>
      <c r="L17" s="126"/>
      <c r="M17" s="76"/>
      <c r="N17" s="76"/>
      <c r="O17" s="161"/>
      <c r="P17" s="161"/>
      <c r="Q17" s="161"/>
      <c r="R17" s="76"/>
    </row>
    <row r="18" spans="1:18" ht="14.5" customHeight="1">
      <c r="A18" s="108"/>
      <c r="B18" s="108"/>
      <c r="C18" s="108"/>
      <c r="D18" s="108"/>
      <c r="E18" s="108"/>
      <c r="F18" s="77" t="str">
        <f>下部结构评分!P3</f>
        <v>台身</v>
      </c>
      <c r="G18" s="75">
        <f>下部结构评分!Q3</f>
        <v>100</v>
      </c>
      <c r="H18" s="108"/>
      <c r="I18" s="78"/>
      <c r="J18" s="133">
        <v>1</v>
      </c>
      <c r="K18" s="134"/>
      <c r="L18" s="135"/>
      <c r="M18" s="76"/>
      <c r="N18" s="76"/>
      <c r="O18" s="161"/>
      <c r="P18" s="161"/>
      <c r="Q18" s="161"/>
      <c r="R18" s="76"/>
    </row>
    <row r="19" spans="1:18" ht="14" customHeight="1">
      <c r="A19" s="108"/>
      <c r="B19" s="108"/>
      <c r="C19" s="108"/>
      <c r="D19" s="108"/>
      <c r="E19" s="108"/>
      <c r="F19" s="77" t="str">
        <f>下部结构评分!P4</f>
        <v>基础</v>
      </c>
      <c r="G19" s="75">
        <f>下部结构评分!Q4</f>
        <v>100</v>
      </c>
      <c r="H19" s="108"/>
      <c r="J19" s="136"/>
      <c r="K19" s="137"/>
      <c r="L19" s="138"/>
      <c r="M19" s="79"/>
      <c r="N19" s="76"/>
      <c r="O19" s="161"/>
      <c r="P19" s="161"/>
      <c r="Q19" s="161"/>
      <c r="R19" s="76"/>
    </row>
    <row r="20" spans="1:18" ht="28" customHeight="1">
      <c r="A20" s="108"/>
      <c r="B20" s="108"/>
      <c r="C20" s="108"/>
      <c r="D20" s="108"/>
      <c r="E20" s="108"/>
      <c r="F20" s="77" t="str">
        <f>下部结构评分!P5</f>
        <v>耳墙（翼墙）</v>
      </c>
      <c r="G20" s="75">
        <f>下部结构评分!Q5</f>
        <v>100</v>
      </c>
      <c r="H20" s="108"/>
      <c r="J20" s="136"/>
      <c r="K20" s="137"/>
      <c r="L20" s="138"/>
      <c r="M20" s="80"/>
      <c r="N20" s="76"/>
      <c r="O20" s="161"/>
      <c r="P20" s="161"/>
      <c r="Q20" s="161"/>
      <c r="R20" s="76"/>
    </row>
    <row r="21" spans="1:18" ht="27.5" customHeight="1">
      <c r="A21" s="108"/>
      <c r="B21" s="108"/>
      <c r="C21" s="108"/>
      <c r="D21" s="108"/>
      <c r="E21" s="109"/>
      <c r="F21" s="77" t="str">
        <f>下部结构评分!P6</f>
        <v>支座</v>
      </c>
      <c r="G21" s="75">
        <f>下部结构评分!Q6</f>
        <v>100</v>
      </c>
      <c r="H21" s="108"/>
      <c r="J21" s="139"/>
      <c r="K21" s="140"/>
      <c r="L21" s="141"/>
      <c r="M21" s="80"/>
      <c r="N21" s="76"/>
      <c r="O21" s="161"/>
      <c r="P21" s="161"/>
      <c r="Q21" s="161"/>
      <c r="R21" s="76"/>
    </row>
    <row r="22" spans="1:18" ht="27.5" customHeight="1">
      <c r="A22" s="108"/>
      <c r="B22" s="108"/>
      <c r="C22" s="108"/>
      <c r="D22" s="108"/>
      <c r="E22" s="131" t="s">
        <v>109</v>
      </c>
      <c r="F22" s="77" t="str">
        <f>下部结构评分!U2</f>
        <v>盖梁</v>
      </c>
      <c r="G22" s="75">
        <f>下部结构评分!V2</f>
        <v>120</v>
      </c>
      <c r="H22" s="108"/>
      <c r="J22" s="65"/>
      <c r="K22" s="65"/>
      <c r="L22" s="65"/>
      <c r="M22" s="80"/>
      <c r="N22" s="76"/>
      <c r="O22" s="161"/>
      <c r="P22" s="161"/>
      <c r="Q22" s="161"/>
      <c r="R22" s="76"/>
    </row>
    <row r="23" spans="1:18" ht="27.5" customHeight="1">
      <c r="A23" s="108"/>
      <c r="B23" s="108"/>
      <c r="C23" s="108"/>
      <c r="D23" s="108"/>
      <c r="E23" s="108"/>
      <c r="F23" s="77" t="str">
        <f>下部结构评分!U3</f>
        <v>墩身</v>
      </c>
      <c r="G23" s="75">
        <f>下部结构评分!V3</f>
        <v>120</v>
      </c>
      <c r="H23" s="108"/>
      <c r="J23" s="65"/>
      <c r="K23" s="65"/>
      <c r="L23" s="65"/>
      <c r="M23" s="80"/>
      <c r="N23" s="76"/>
      <c r="O23" s="161"/>
      <c r="P23" s="161"/>
      <c r="Q23" s="161"/>
      <c r="R23" s="76"/>
    </row>
    <row r="24" spans="1:18" ht="27.5" customHeight="1">
      <c r="A24" s="108"/>
      <c r="B24" s="108"/>
      <c r="C24" s="108"/>
      <c r="D24" s="108"/>
      <c r="E24" s="108"/>
      <c r="F24" s="77" t="str">
        <f>下部结构评分!U4</f>
        <v>基础</v>
      </c>
      <c r="G24" s="75">
        <f>下部结构评分!V4</f>
        <v>116</v>
      </c>
      <c r="H24" s="108"/>
      <c r="J24" s="65"/>
      <c r="K24" s="65"/>
      <c r="L24" s="65"/>
      <c r="M24" s="80"/>
      <c r="N24" s="76"/>
      <c r="O24" s="161"/>
      <c r="P24" s="161"/>
      <c r="Q24" s="161"/>
      <c r="R24" s="76"/>
    </row>
    <row r="25" spans="1:18" ht="27.5" customHeight="1">
      <c r="A25" s="108"/>
      <c r="B25" s="108"/>
      <c r="C25" s="108"/>
      <c r="D25" s="108"/>
      <c r="E25" s="108"/>
      <c r="F25" s="77" t="str">
        <f>下部结构评分!U5</f>
        <v>支座</v>
      </c>
      <c r="G25" s="75">
        <f>下部结构评分!V5</f>
        <v>120</v>
      </c>
      <c r="H25" s="108"/>
      <c r="J25" s="65"/>
      <c r="K25" s="65"/>
      <c r="L25" s="65"/>
      <c r="M25" s="80"/>
      <c r="N25" s="76"/>
      <c r="O25" s="161"/>
      <c r="P25" s="161"/>
      <c r="Q25" s="161"/>
      <c r="R25" s="76"/>
    </row>
    <row r="26" spans="1:18" ht="27.5" customHeight="1">
      <c r="A26" s="109"/>
      <c r="B26" s="109"/>
      <c r="C26" s="109"/>
      <c r="D26" s="109"/>
      <c r="E26" s="109"/>
      <c r="F26" s="77" t="str">
        <f>下部结构评分!U6</f>
        <v>无</v>
      </c>
      <c r="G26" s="75">
        <f>下部结构评分!V6</f>
        <v>120</v>
      </c>
      <c r="H26" s="109"/>
      <c r="J26" s="65"/>
      <c r="K26" s="65"/>
      <c r="L26" s="65"/>
      <c r="M26" s="80"/>
      <c r="N26" s="76"/>
      <c r="O26" s="161"/>
      <c r="P26" s="161"/>
      <c r="Q26" s="161"/>
      <c r="R26" s="76"/>
    </row>
    <row r="27" spans="1:18" ht="33.75" customHeight="1">
      <c r="A27" s="158" t="s">
        <v>110</v>
      </c>
      <c r="B27" s="114"/>
      <c r="C27" s="114"/>
      <c r="D27" s="114"/>
      <c r="E27" s="114"/>
      <c r="F27" s="114"/>
      <c r="G27" s="115"/>
      <c r="H27" s="65"/>
      <c r="J27" s="65"/>
      <c r="K27" s="65"/>
      <c r="L27" s="65"/>
      <c r="M27" s="76"/>
      <c r="N27" s="76"/>
      <c r="O27" s="76"/>
      <c r="P27" s="76"/>
      <c r="Q27" s="76"/>
      <c r="R27" s="76"/>
    </row>
    <row r="28" spans="1:18" s="65" customFormat="1" ht="14" customHeight="1">
      <c r="F28" s="81"/>
      <c r="M28" s="76"/>
      <c r="N28" s="76"/>
      <c r="O28" s="76"/>
      <c r="P28" s="76"/>
      <c r="Q28" s="76"/>
      <c r="R28" s="76"/>
    </row>
    <row r="29" spans="1:18" s="65" customFormat="1" ht="14" customHeight="1">
      <c r="A29" s="82" t="s">
        <v>111</v>
      </c>
      <c r="B29" s="83" t="s">
        <v>112</v>
      </c>
      <c r="C29" s="84" t="s">
        <v>113</v>
      </c>
      <c r="D29" s="85" t="s">
        <v>114</v>
      </c>
      <c r="F29" s="81"/>
      <c r="M29" s="76"/>
      <c r="N29" s="76"/>
      <c r="O29" s="76"/>
      <c r="P29" s="76"/>
      <c r="Q29" s="76"/>
      <c r="R29" s="76"/>
    </row>
    <row r="30" spans="1:18" s="65" customFormat="1" ht="14" customHeight="1">
      <c r="A30" s="86" t="s">
        <v>89</v>
      </c>
      <c r="B30" s="87" t="str">
        <f>H5</f>
        <v>0.15</v>
      </c>
      <c r="C30" s="88">
        <f>B5</f>
        <v>84.666666666666657</v>
      </c>
      <c r="D30" s="89" t="str">
        <f>C5</f>
        <v>B级</v>
      </c>
      <c r="F30" s="81"/>
      <c r="M30" s="76"/>
      <c r="N30" s="76"/>
      <c r="O30" s="76"/>
      <c r="P30" s="76"/>
      <c r="Q30" s="76"/>
      <c r="R30" s="76"/>
    </row>
    <row r="31" spans="1:18" s="65" customFormat="1" ht="14" customHeight="1">
      <c r="A31" s="86" t="s">
        <v>104</v>
      </c>
      <c r="B31" s="88" t="str">
        <f>H11</f>
        <v>0.40</v>
      </c>
      <c r="C31" s="88">
        <f>B11</f>
        <v>99.555555555555557</v>
      </c>
      <c r="D31" s="89" t="str">
        <f>C11</f>
        <v>A级</v>
      </c>
      <c r="F31" s="81"/>
      <c r="M31" s="76"/>
      <c r="N31" s="76"/>
      <c r="O31" s="76"/>
      <c r="P31" s="76"/>
      <c r="Q31" s="76"/>
      <c r="R31" s="76"/>
    </row>
    <row r="32" spans="1:18" s="65" customFormat="1" ht="14" customHeight="1">
      <c r="A32" s="86" t="s">
        <v>107</v>
      </c>
      <c r="B32" s="88" t="str">
        <f>H17</f>
        <v>0.45</v>
      </c>
      <c r="C32" s="88">
        <f>B17</f>
        <v>100</v>
      </c>
      <c r="D32" s="89" t="str">
        <f>C17</f>
        <v>A级</v>
      </c>
      <c r="F32" s="81"/>
      <c r="M32" s="76"/>
      <c r="N32" s="76"/>
      <c r="O32" s="76"/>
      <c r="P32" s="76"/>
      <c r="Q32" s="76"/>
      <c r="R32" s="76"/>
    </row>
    <row r="33" spans="1:18" s="65" customFormat="1" ht="34.5" customHeight="1">
      <c r="A33" s="90" t="str">
        <f>A2</f>
        <v>整桥技术状况评分BCI</v>
      </c>
      <c r="B33" s="154">
        <f>A3</f>
        <v>97.522222222222211</v>
      </c>
      <c r="C33" s="155"/>
      <c r="D33" s="156"/>
      <c r="F33" s="81"/>
      <c r="H33" s="81"/>
      <c r="M33" s="76"/>
      <c r="N33" s="76"/>
      <c r="O33" s="76"/>
      <c r="P33" s="76"/>
      <c r="Q33" s="76"/>
      <c r="R33" s="76"/>
    </row>
    <row r="34" spans="1:18" s="65" customFormat="1" ht="45" customHeight="1">
      <c r="A34" s="91" t="str">
        <f>D2</f>
        <v>整桥技术状况评定等级</v>
      </c>
      <c r="B34" s="146" t="str">
        <f>D3</f>
        <v>A级</v>
      </c>
      <c r="C34" s="147"/>
      <c r="D34" s="148"/>
      <c r="H34" s="92"/>
      <c r="M34" s="76"/>
      <c r="N34" s="76"/>
      <c r="O34" s="76"/>
      <c r="P34" s="76"/>
      <c r="Q34" s="76"/>
      <c r="R34" s="76"/>
    </row>
    <row r="35" spans="1:18" s="65" customFormat="1" ht="14" customHeight="1">
      <c r="H35" s="92"/>
      <c r="M35" s="76"/>
      <c r="N35" s="76"/>
      <c r="O35" s="76"/>
      <c r="P35" s="76"/>
      <c r="Q35" s="76"/>
      <c r="R35" s="76"/>
    </row>
    <row r="36" spans="1:18" s="65" customFormat="1" ht="14" customHeight="1">
      <c r="A36" s="93" t="s">
        <v>111</v>
      </c>
      <c r="B36" s="94" t="s">
        <v>115</v>
      </c>
      <c r="C36" s="95" t="s">
        <v>114</v>
      </c>
      <c r="D36" s="96" t="s">
        <v>116</v>
      </c>
      <c r="H36" s="92"/>
      <c r="M36" s="76"/>
      <c r="N36" s="76"/>
      <c r="O36" s="76"/>
      <c r="P36" s="76"/>
      <c r="Q36" s="76"/>
      <c r="R36" s="76"/>
    </row>
    <row r="37" spans="1:18" s="65" customFormat="1" ht="14" customHeight="1">
      <c r="A37" s="97" t="s">
        <v>89</v>
      </c>
      <c r="B37" s="98">
        <f>桥面系评分!H3</f>
        <v>60</v>
      </c>
      <c r="C37" s="99" t="str">
        <f>IF(B37&lt;50,"E级",IF(B37&lt;66,"D级",IF(B37&lt;80,"C级",IF(B37&lt;90,"B级",IF(B37&lt;=100,"A级")))))</f>
        <v>D级</v>
      </c>
      <c r="D37" s="100"/>
      <c r="H37" s="92"/>
      <c r="M37" s="76"/>
      <c r="N37" s="76"/>
      <c r="O37" s="76"/>
      <c r="P37" s="76"/>
      <c r="Q37" s="76"/>
      <c r="R37" s="76"/>
    </row>
    <row r="38" spans="1:18" s="65" customFormat="1" ht="14" customHeight="1">
      <c r="A38" s="97" t="s">
        <v>104</v>
      </c>
      <c r="B38" s="101">
        <f>上部结构评分!G12</f>
        <v>96</v>
      </c>
      <c r="C38" s="99" t="str">
        <f>IF(B38&lt;50,"E级",IF(B38&lt;66,"D级",IF(B38&lt;80,"C级",IF(B38&lt;90,"B级",IF(B38&lt;=100,"A级")))))</f>
        <v>A级</v>
      </c>
      <c r="D38" s="102" t="s">
        <v>117</v>
      </c>
      <c r="F38" s="103"/>
      <c r="H38" s="92"/>
      <c r="M38" s="76"/>
      <c r="N38" s="76"/>
      <c r="O38" s="76"/>
      <c r="P38" s="76"/>
      <c r="Q38" s="76"/>
      <c r="R38" s="76"/>
    </row>
    <row r="39" spans="1:18" s="65" customFormat="1" ht="14" customHeight="1">
      <c r="A39" s="104" t="s">
        <v>107</v>
      </c>
      <c r="B39" s="105">
        <f>下部结构评分!K11</f>
        <v>100</v>
      </c>
      <c r="C39" s="99" t="str">
        <f>IF(B39&lt;50,"E级",IF(B39&lt;66,"D级",IF(B39&lt;80,"C级",IF(B39&lt;90,"B级",IF(B39&lt;=100,"A级")))))</f>
        <v>A级</v>
      </c>
      <c r="D39" s="106" t="s">
        <v>117</v>
      </c>
      <c r="H39" s="92"/>
      <c r="M39" s="76"/>
      <c r="N39" s="76"/>
      <c r="O39" s="76"/>
      <c r="P39" s="76"/>
      <c r="Q39" s="76"/>
      <c r="R39" s="76"/>
    </row>
    <row r="40" spans="1:18" s="65" customFormat="1" ht="14" customHeight="1">
      <c r="H40" s="92"/>
      <c r="M40" s="76"/>
      <c r="N40" s="76"/>
      <c r="O40" s="76"/>
      <c r="P40" s="76"/>
      <c r="Q40" s="76"/>
      <c r="R40" s="76"/>
    </row>
    <row r="41" spans="1:18" s="65" customFormat="1" ht="14" customHeight="1">
      <c r="H41" s="92"/>
      <c r="M41" s="76"/>
      <c r="N41" s="76"/>
      <c r="O41" s="76"/>
      <c r="P41" s="76"/>
      <c r="Q41" s="76"/>
      <c r="R41" s="76"/>
    </row>
    <row r="42" spans="1:18" s="65" customFormat="1" ht="14" customHeight="1">
      <c r="H42" s="92"/>
      <c r="M42" s="76"/>
      <c r="N42" s="76"/>
      <c r="O42" s="76"/>
      <c r="P42" s="76"/>
      <c r="Q42" s="76"/>
      <c r="R42" s="76"/>
    </row>
    <row r="43" spans="1:18" s="65" customFormat="1" ht="14" customHeight="1">
      <c r="H43" s="92"/>
      <c r="M43" s="76"/>
      <c r="N43" s="76"/>
      <c r="O43" s="76"/>
      <c r="P43" s="76"/>
      <c r="Q43" s="76"/>
      <c r="R43" s="76"/>
    </row>
    <row r="44" spans="1:18" s="65" customFormat="1" ht="14" customHeight="1">
      <c r="H44" s="92"/>
      <c r="M44" s="76"/>
      <c r="N44" s="76"/>
      <c r="O44" s="76"/>
      <c r="P44" s="76"/>
      <c r="Q44" s="76"/>
      <c r="R44" s="76"/>
    </row>
    <row r="45" spans="1:18" s="65" customFormat="1" ht="14" customHeight="1">
      <c r="H45" s="92"/>
      <c r="M45" s="76"/>
      <c r="N45" s="76"/>
      <c r="O45" s="76"/>
      <c r="P45" s="76"/>
      <c r="Q45" s="76"/>
      <c r="R45" s="76"/>
    </row>
    <row r="46" spans="1:18" s="65" customFormat="1" ht="14" customHeight="1">
      <c r="H46" s="92"/>
      <c r="M46" s="76"/>
      <c r="N46" s="76"/>
      <c r="O46" s="76"/>
      <c r="P46" s="76"/>
      <c r="Q46" s="76"/>
      <c r="R46" s="76"/>
    </row>
    <row r="47" spans="1:18" s="65" customFormat="1" ht="14" customHeight="1">
      <c r="H47" s="92"/>
      <c r="M47" s="76"/>
      <c r="N47" s="76"/>
      <c r="O47" s="76"/>
      <c r="P47" s="76"/>
      <c r="Q47" s="76"/>
      <c r="R47" s="76"/>
    </row>
    <row r="48" spans="1:18" s="65" customFormat="1" ht="14" customHeight="1">
      <c r="H48" s="92"/>
      <c r="M48" s="76"/>
      <c r="N48" s="76"/>
      <c r="O48" s="76"/>
      <c r="P48" s="76"/>
      <c r="Q48" s="76"/>
      <c r="R48" s="76"/>
    </row>
    <row r="49" spans="8:18" s="65" customFormat="1" ht="14" customHeight="1">
      <c r="H49" s="92"/>
      <c r="M49" s="76"/>
      <c r="N49" s="76"/>
      <c r="O49" s="76"/>
      <c r="P49" s="76"/>
      <c r="Q49" s="76"/>
      <c r="R49" s="76"/>
    </row>
    <row r="50" spans="8:18" s="65" customFormat="1" ht="14" customHeight="1">
      <c r="H50" s="92"/>
      <c r="M50" s="76"/>
      <c r="N50" s="76"/>
      <c r="O50" s="76"/>
      <c r="P50" s="76"/>
      <c r="Q50" s="76"/>
      <c r="R50" s="76"/>
    </row>
    <row r="51" spans="8:18" s="65" customFormat="1" ht="14" customHeight="1">
      <c r="H51" s="92"/>
      <c r="M51" s="76"/>
      <c r="N51" s="76"/>
      <c r="O51" s="76"/>
      <c r="P51" s="76"/>
      <c r="Q51" s="76"/>
      <c r="R51" s="76"/>
    </row>
    <row r="52" spans="8:18" s="65" customFormat="1" ht="14" customHeight="1">
      <c r="H52" s="92"/>
      <c r="M52" s="76"/>
      <c r="N52" s="76"/>
      <c r="O52" s="76"/>
      <c r="P52" s="76"/>
      <c r="Q52" s="76"/>
      <c r="R52" s="76"/>
    </row>
    <row r="53" spans="8:18" s="65" customFormat="1" ht="14" customHeight="1">
      <c r="H53" s="92"/>
      <c r="M53" s="76"/>
      <c r="N53" s="76"/>
      <c r="O53" s="76"/>
      <c r="P53" s="76"/>
      <c r="Q53" s="76"/>
      <c r="R53" s="76"/>
    </row>
    <row r="54" spans="8:18" s="65" customFormat="1" ht="14" customHeight="1">
      <c r="H54" s="92"/>
      <c r="M54" s="76"/>
      <c r="N54" s="76"/>
      <c r="O54" s="76"/>
      <c r="P54" s="76"/>
      <c r="Q54" s="76"/>
      <c r="R54" s="76"/>
    </row>
    <row r="55" spans="8:18" s="65" customFormat="1" ht="14" customHeight="1">
      <c r="H55" s="92"/>
      <c r="M55" s="76"/>
      <c r="N55" s="76"/>
      <c r="O55" s="76"/>
      <c r="P55" s="76"/>
      <c r="Q55" s="76"/>
      <c r="R55" s="76"/>
    </row>
    <row r="56" spans="8:18" s="65" customFormat="1" ht="14" customHeight="1">
      <c r="H56" s="92"/>
      <c r="M56" s="76"/>
      <c r="N56" s="76"/>
      <c r="O56" s="76"/>
      <c r="P56" s="76"/>
      <c r="Q56" s="76"/>
      <c r="R56" s="76"/>
    </row>
    <row r="57" spans="8:18" s="65" customFormat="1" ht="14" customHeight="1">
      <c r="H57" s="92"/>
      <c r="M57" s="76"/>
      <c r="N57" s="76"/>
      <c r="O57" s="76"/>
      <c r="P57" s="76"/>
      <c r="Q57" s="76"/>
      <c r="R57" s="76"/>
    </row>
    <row r="58" spans="8:18" s="65" customFormat="1" ht="14" customHeight="1">
      <c r="H58" s="92"/>
      <c r="M58" s="76"/>
      <c r="N58" s="76"/>
      <c r="O58" s="76"/>
      <c r="P58" s="76"/>
      <c r="Q58" s="76"/>
      <c r="R58" s="76"/>
    </row>
    <row r="59" spans="8:18" s="65" customFormat="1" ht="14" customHeight="1">
      <c r="H59" s="92"/>
      <c r="M59" s="76"/>
      <c r="N59" s="76"/>
      <c r="O59" s="76"/>
      <c r="P59" s="76"/>
      <c r="Q59" s="76"/>
      <c r="R59" s="76"/>
    </row>
    <row r="60" spans="8:18" s="65" customFormat="1" ht="14" customHeight="1">
      <c r="H60" s="92"/>
      <c r="M60" s="76"/>
      <c r="N60" s="76"/>
      <c r="O60" s="76"/>
      <c r="P60" s="76"/>
      <c r="Q60" s="76"/>
      <c r="R60" s="76"/>
    </row>
    <row r="61" spans="8:18" s="65" customFormat="1" ht="14" customHeight="1">
      <c r="H61" s="92"/>
      <c r="M61" s="76"/>
      <c r="N61" s="76"/>
      <c r="O61" s="76"/>
      <c r="P61" s="76"/>
      <c r="Q61" s="76"/>
      <c r="R61" s="76"/>
    </row>
    <row r="62" spans="8:18" s="65" customFormat="1" ht="14" customHeight="1">
      <c r="H62" s="92"/>
      <c r="M62" s="76"/>
      <c r="N62" s="76"/>
      <c r="O62" s="76"/>
      <c r="P62" s="76"/>
      <c r="Q62" s="76"/>
      <c r="R62" s="76"/>
    </row>
    <row r="63" spans="8:18" s="65" customFormat="1" ht="14" customHeight="1">
      <c r="H63" s="92"/>
      <c r="M63" s="76"/>
      <c r="N63" s="76"/>
      <c r="O63" s="76"/>
      <c r="P63" s="76"/>
      <c r="Q63" s="76"/>
      <c r="R63" s="76"/>
    </row>
    <row r="64" spans="8:18" s="65" customFormat="1" ht="14" customHeight="1">
      <c r="H64" s="92"/>
      <c r="M64" s="76"/>
      <c r="N64" s="76"/>
      <c r="O64" s="76"/>
      <c r="P64" s="76"/>
      <c r="Q64" s="76"/>
      <c r="R64" s="76"/>
    </row>
    <row r="65" spans="8:18" s="65" customFormat="1" ht="14" customHeight="1">
      <c r="H65" s="92"/>
      <c r="M65" s="76"/>
      <c r="N65" s="76"/>
      <c r="O65" s="76"/>
      <c r="P65" s="76"/>
      <c r="Q65" s="76"/>
      <c r="R65" s="76"/>
    </row>
    <row r="66" spans="8:18" s="65" customFormat="1" ht="14" customHeight="1">
      <c r="H66" s="92"/>
      <c r="M66" s="76"/>
      <c r="N66" s="76"/>
      <c r="O66" s="76"/>
      <c r="P66" s="76"/>
      <c r="Q66" s="76"/>
      <c r="R66" s="76"/>
    </row>
    <row r="67" spans="8:18" s="65" customFormat="1" ht="14" customHeight="1">
      <c r="H67" s="92"/>
      <c r="M67" s="76"/>
      <c r="N67" s="76"/>
      <c r="O67" s="76"/>
      <c r="P67" s="76"/>
      <c r="Q67" s="76"/>
      <c r="R67" s="76"/>
    </row>
    <row r="68" spans="8:18" s="65" customFormat="1" ht="14" customHeight="1">
      <c r="H68" s="92"/>
      <c r="M68" s="76"/>
      <c r="N68" s="76"/>
      <c r="O68" s="76"/>
      <c r="P68" s="76"/>
      <c r="Q68" s="76"/>
      <c r="R68" s="76"/>
    </row>
    <row r="69" spans="8:18" s="65" customFormat="1" ht="14" customHeight="1">
      <c r="H69" s="92"/>
      <c r="M69" s="76"/>
      <c r="N69" s="76"/>
      <c r="O69" s="76"/>
      <c r="P69" s="76"/>
      <c r="Q69" s="76"/>
      <c r="R69" s="76"/>
    </row>
    <row r="70" spans="8:18" s="65" customFormat="1" ht="14" customHeight="1">
      <c r="H70" s="92"/>
      <c r="M70" s="76"/>
      <c r="N70" s="76"/>
      <c r="O70" s="76"/>
      <c r="P70" s="76"/>
      <c r="Q70" s="76"/>
      <c r="R70" s="76"/>
    </row>
    <row r="71" spans="8:18" s="65" customFormat="1" ht="14" customHeight="1">
      <c r="H71" s="92"/>
      <c r="M71" s="76"/>
      <c r="N71" s="76"/>
      <c r="O71" s="76"/>
      <c r="P71" s="76"/>
      <c r="Q71" s="76"/>
      <c r="R71" s="76"/>
    </row>
    <row r="72" spans="8:18" s="65" customFormat="1" ht="14" customHeight="1">
      <c r="H72" s="92"/>
      <c r="M72" s="76"/>
      <c r="N72" s="76"/>
      <c r="O72" s="76"/>
      <c r="P72" s="76"/>
      <c r="Q72" s="76"/>
      <c r="R72" s="76"/>
    </row>
    <row r="73" spans="8:18" s="65" customFormat="1" ht="14" customHeight="1">
      <c r="H73" s="92"/>
      <c r="M73" s="76"/>
      <c r="N73" s="76"/>
      <c r="O73" s="76"/>
      <c r="P73" s="76"/>
      <c r="Q73" s="76"/>
      <c r="R73" s="76"/>
    </row>
    <row r="74" spans="8:18" s="65" customFormat="1" ht="14" customHeight="1">
      <c r="H74" s="92"/>
      <c r="M74" s="76"/>
      <c r="N74" s="76"/>
      <c r="O74" s="76"/>
      <c r="P74" s="76"/>
      <c r="Q74" s="76"/>
      <c r="R74" s="76"/>
    </row>
    <row r="75" spans="8:18" s="65" customFormat="1" ht="14" customHeight="1">
      <c r="H75" s="92"/>
      <c r="M75" s="76"/>
      <c r="N75" s="76"/>
      <c r="O75" s="76"/>
      <c r="P75" s="76"/>
      <c r="Q75" s="76"/>
      <c r="R75" s="76"/>
    </row>
    <row r="76" spans="8:18" s="65" customFormat="1" ht="14" customHeight="1">
      <c r="H76" s="92"/>
      <c r="M76" s="76"/>
      <c r="N76" s="76"/>
      <c r="O76" s="76"/>
      <c r="P76" s="76"/>
      <c r="Q76" s="76"/>
      <c r="R76" s="76"/>
    </row>
    <row r="77" spans="8:18" s="65" customFormat="1" ht="14" customHeight="1">
      <c r="H77" s="92"/>
      <c r="M77" s="76"/>
      <c r="N77" s="76"/>
      <c r="O77" s="76"/>
      <c r="P77" s="76"/>
      <c r="Q77" s="76"/>
      <c r="R77" s="76"/>
    </row>
    <row r="78" spans="8:18" s="65" customFormat="1" ht="14" customHeight="1">
      <c r="H78" s="92"/>
      <c r="M78" s="76"/>
      <c r="N78" s="76"/>
      <c r="O78" s="76"/>
      <c r="P78" s="76"/>
      <c r="Q78" s="76"/>
      <c r="R78" s="76"/>
    </row>
    <row r="79" spans="8:18" s="65" customFormat="1" ht="14" customHeight="1">
      <c r="H79" s="92"/>
      <c r="M79" s="76"/>
      <c r="N79" s="76"/>
      <c r="O79" s="76"/>
      <c r="P79" s="76"/>
      <c r="Q79" s="76"/>
      <c r="R79" s="76"/>
    </row>
    <row r="80" spans="8:18" s="65" customFormat="1" ht="14" customHeight="1">
      <c r="H80" s="92"/>
      <c r="M80" s="76"/>
      <c r="N80" s="76"/>
      <c r="O80" s="76"/>
      <c r="P80" s="76"/>
      <c r="Q80" s="76"/>
      <c r="R80" s="76"/>
    </row>
    <row r="81" spans="8:18" s="65" customFormat="1" ht="14" customHeight="1">
      <c r="H81" s="92"/>
      <c r="M81" s="76"/>
      <c r="N81" s="76"/>
      <c r="O81" s="76"/>
      <c r="P81" s="76"/>
      <c r="Q81" s="76"/>
      <c r="R81" s="76"/>
    </row>
    <row r="82" spans="8:18" s="65" customFormat="1" ht="14" customHeight="1">
      <c r="H82" s="92"/>
      <c r="M82" s="76"/>
      <c r="N82" s="76"/>
      <c r="O82" s="76"/>
      <c r="P82" s="76"/>
      <c r="Q82" s="76"/>
      <c r="R82" s="76"/>
    </row>
    <row r="83" spans="8:18" s="65" customFormat="1" ht="14" customHeight="1">
      <c r="H83" s="92"/>
      <c r="M83" s="76"/>
      <c r="N83" s="76"/>
      <c r="O83" s="76"/>
      <c r="P83" s="76"/>
      <c r="Q83" s="76"/>
      <c r="R83" s="76"/>
    </row>
    <row r="84" spans="8:18" s="65" customFormat="1" ht="14" customHeight="1">
      <c r="H84" s="92"/>
      <c r="M84" s="76"/>
      <c r="N84" s="76"/>
      <c r="O84" s="76"/>
      <c r="P84" s="76"/>
      <c r="Q84" s="76"/>
      <c r="R84" s="76"/>
    </row>
    <row r="85" spans="8:18" s="65" customFormat="1" ht="14" customHeight="1">
      <c r="H85" s="92"/>
      <c r="M85" s="76"/>
      <c r="N85" s="76"/>
      <c r="O85" s="76"/>
      <c r="P85" s="76"/>
      <c r="Q85" s="76"/>
      <c r="R85" s="76"/>
    </row>
    <row r="86" spans="8:18" s="65" customFormat="1" ht="14" customHeight="1">
      <c r="H86" s="92"/>
      <c r="M86" s="76"/>
      <c r="N86" s="76"/>
      <c r="O86" s="76"/>
      <c r="P86" s="76"/>
      <c r="Q86" s="76"/>
      <c r="R86" s="76"/>
    </row>
    <row r="87" spans="8:18" s="65" customFormat="1" ht="14" customHeight="1">
      <c r="H87" s="92"/>
      <c r="M87" s="76"/>
      <c r="N87" s="76"/>
      <c r="O87" s="76"/>
      <c r="P87" s="76"/>
      <c r="Q87" s="76"/>
      <c r="R87" s="76"/>
    </row>
    <row r="88" spans="8:18" s="65" customFormat="1" ht="14" customHeight="1">
      <c r="H88" s="92"/>
      <c r="M88" s="76"/>
      <c r="N88" s="76"/>
      <c r="O88" s="76"/>
      <c r="P88" s="76"/>
      <c r="Q88" s="76"/>
      <c r="R88" s="76"/>
    </row>
    <row r="89" spans="8:18" s="65" customFormat="1" ht="14" customHeight="1">
      <c r="H89" s="92"/>
      <c r="M89" s="76"/>
      <c r="N89" s="76"/>
      <c r="O89" s="76"/>
      <c r="P89" s="76"/>
      <c r="Q89" s="76"/>
      <c r="R89" s="76"/>
    </row>
    <row r="90" spans="8:18" s="65" customFormat="1" ht="14" customHeight="1">
      <c r="H90" s="92"/>
      <c r="M90" s="76"/>
      <c r="N90" s="76"/>
      <c r="O90" s="76"/>
      <c r="P90" s="76"/>
      <c r="Q90" s="76"/>
      <c r="R90" s="76"/>
    </row>
    <row r="91" spans="8:18" s="65" customFormat="1" ht="14" customHeight="1">
      <c r="H91" s="92"/>
      <c r="M91" s="76"/>
      <c r="N91" s="76"/>
      <c r="O91" s="76"/>
      <c r="P91" s="76"/>
      <c r="Q91" s="76"/>
      <c r="R91" s="76"/>
    </row>
    <row r="92" spans="8:18" s="65" customFormat="1" ht="14" customHeight="1">
      <c r="H92" s="92"/>
      <c r="M92" s="76"/>
      <c r="N92" s="76"/>
      <c r="O92" s="76"/>
      <c r="P92" s="76"/>
      <c r="Q92" s="76"/>
      <c r="R92" s="76"/>
    </row>
    <row r="93" spans="8:18" s="65" customFormat="1" ht="14" customHeight="1">
      <c r="H93" s="92"/>
      <c r="M93" s="76"/>
      <c r="N93" s="76"/>
      <c r="O93" s="76"/>
      <c r="P93" s="76"/>
      <c r="Q93" s="76"/>
      <c r="R93" s="76"/>
    </row>
    <row r="94" spans="8:18" s="65" customFormat="1" ht="14" customHeight="1">
      <c r="H94" s="92"/>
      <c r="M94" s="76"/>
      <c r="N94" s="76"/>
      <c r="O94" s="76"/>
      <c r="P94" s="76"/>
      <c r="Q94" s="76"/>
      <c r="R94" s="76"/>
    </row>
    <row r="95" spans="8:18" s="65" customFormat="1" ht="14" customHeight="1">
      <c r="H95" s="92"/>
      <c r="M95" s="76"/>
      <c r="N95" s="76"/>
      <c r="O95" s="76"/>
      <c r="P95" s="76"/>
      <c r="Q95" s="76"/>
      <c r="R95" s="76"/>
    </row>
    <row r="96" spans="8:18" s="65" customFormat="1" ht="14" customHeight="1">
      <c r="H96" s="92"/>
      <c r="M96" s="76"/>
      <c r="N96" s="76"/>
      <c r="O96" s="76"/>
      <c r="P96" s="76"/>
      <c r="Q96" s="76"/>
      <c r="R96" s="76"/>
    </row>
    <row r="97" spans="8:18" s="65" customFormat="1" ht="14" customHeight="1">
      <c r="H97" s="92"/>
      <c r="M97" s="76"/>
      <c r="N97" s="76"/>
      <c r="O97" s="76"/>
      <c r="P97" s="76"/>
      <c r="Q97" s="76"/>
      <c r="R97" s="76"/>
    </row>
    <row r="98" spans="8:18" s="65" customFormat="1" ht="14" customHeight="1">
      <c r="H98" s="92"/>
      <c r="M98" s="76"/>
      <c r="N98" s="76"/>
      <c r="O98" s="76"/>
      <c r="P98" s="76"/>
      <c r="Q98" s="76"/>
      <c r="R98" s="76"/>
    </row>
    <row r="99" spans="8:18" s="65" customFormat="1" ht="14" customHeight="1">
      <c r="H99" s="92"/>
      <c r="M99" s="76"/>
      <c r="N99" s="76"/>
      <c r="O99" s="76"/>
      <c r="P99" s="76"/>
      <c r="Q99" s="76"/>
      <c r="R99" s="76"/>
    </row>
    <row r="100" spans="8:18" s="65" customFormat="1" ht="14" customHeight="1">
      <c r="H100" s="92"/>
      <c r="M100" s="76"/>
      <c r="N100" s="76"/>
      <c r="O100" s="76"/>
      <c r="P100" s="76"/>
      <c r="Q100" s="76"/>
      <c r="R100" s="76"/>
    </row>
    <row r="101" spans="8:18" s="65" customFormat="1" ht="14" customHeight="1">
      <c r="H101" s="92"/>
      <c r="M101" s="76"/>
      <c r="N101" s="76"/>
      <c r="O101" s="76"/>
      <c r="P101" s="76"/>
      <c r="Q101" s="76"/>
      <c r="R101" s="76"/>
    </row>
    <row r="102" spans="8:18" s="65" customFormat="1" ht="14" customHeight="1">
      <c r="H102" s="92"/>
      <c r="M102" s="76"/>
      <c r="N102" s="76"/>
      <c r="O102" s="76"/>
      <c r="P102" s="76"/>
      <c r="Q102" s="76"/>
      <c r="R102" s="76"/>
    </row>
    <row r="103" spans="8:18" s="65" customFormat="1" ht="14" customHeight="1">
      <c r="H103" s="92"/>
      <c r="M103" s="76"/>
      <c r="N103" s="76"/>
      <c r="O103" s="76"/>
      <c r="P103" s="76"/>
      <c r="Q103" s="76"/>
      <c r="R103" s="76"/>
    </row>
    <row r="104" spans="8:18" s="65" customFormat="1" ht="14" customHeight="1">
      <c r="H104" s="92"/>
      <c r="M104" s="76"/>
      <c r="N104" s="76"/>
      <c r="O104" s="76"/>
      <c r="P104" s="76"/>
      <c r="Q104" s="76"/>
      <c r="R104" s="76"/>
    </row>
    <row r="105" spans="8:18" s="65" customFormat="1" ht="14" customHeight="1">
      <c r="H105" s="92"/>
      <c r="M105" s="76"/>
      <c r="N105" s="76"/>
      <c r="O105" s="76"/>
      <c r="P105" s="76"/>
      <c r="Q105" s="76"/>
      <c r="R105" s="76"/>
    </row>
    <row r="106" spans="8:18" s="65" customFormat="1" ht="14" customHeight="1">
      <c r="H106" s="92"/>
      <c r="M106" s="76"/>
      <c r="N106" s="76"/>
      <c r="O106" s="76"/>
      <c r="P106" s="76"/>
      <c r="Q106" s="76"/>
      <c r="R106" s="76"/>
    </row>
    <row r="107" spans="8:18" s="65" customFormat="1" ht="14" customHeight="1">
      <c r="H107" s="92"/>
      <c r="M107" s="76"/>
      <c r="N107" s="76"/>
      <c r="O107" s="76"/>
      <c r="P107" s="76"/>
      <c r="Q107" s="76"/>
      <c r="R107" s="76"/>
    </row>
    <row r="108" spans="8:18" s="65" customFormat="1" ht="14" customHeight="1">
      <c r="H108" s="92"/>
      <c r="M108" s="76"/>
      <c r="N108" s="76"/>
      <c r="O108" s="76"/>
      <c r="P108" s="76"/>
      <c r="Q108" s="76"/>
      <c r="R108" s="76"/>
    </row>
    <row r="109" spans="8:18" s="65" customFormat="1" ht="14" customHeight="1">
      <c r="H109" s="92"/>
      <c r="M109" s="76"/>
      <c r="N109" s="76"/>
      <c r="O109" s="76"/>
      <c r="P109" s="76"/>
      <c r="Q109" s="76"/>
      <c r="R109" s="76"/>
    </row>
    <row r="110" spans="8:18" s="65" customFormat="1" ht="14" customHeight="1">
      <c r="H110" s="92"/>
      <c r="M110" s="76"/>
      <c r="N110" s="76"/>
      <c r="O110" s="76"/>
      <c r="P110" s="76"/>
      <c r="Q110" s="76"/>
      <c r="R110" s="76"/>
    </row>
    <row r="111" spans="8:18" s="65" customFormat="1" ht="14" customHeight="1">
      <c r="H111" s="92"/>
      <c r="M111" s="76"/>
      <c r="N111" s="76"/>
      <c r="O111" s="76"/>
      <c r="P111" s="76"/>
      <c r="Q111" s="76"/>
      <c r="R111" s="76"/>
    </row>
    <row r="112" spans="8:18" s="65" customFormat="1" ht="14" customHeight="1">
      <c r="H112" s="92"/>
      <c r="M112" s="76"/>
      <c r="N112" s="76"/>
      <c r="O112" s="76"/>
      <c r="P112" s="76"/>
      <c r="Q112" s="76"/>
      <c r="R112" s="76"/>
    </row>
    <row r="113" spans="8:18" s="65" customFormat="1" ht="14" customHeight="1">
      <c r="H113" s="92"/>
      <c r="M113" s="76"/>
      <c r="N113" s="76"/>
      <c r="O113" s="76"/>
      <c r="P113" s="76"/>
      <c r="Q113" s="76"/>
      <c r="R113" s="76"/>
    </row>
    <row r="114" spans="8:18" s="65" customFormat="1" ht="14" customHeight="1">
      <c r="H114" s="92"/>
      <c r="M114" s="76"/>
      <c r="N114" s="76"/>
      <c r="O114" s="76"/>
      <c r="P114" s="76"/>
      <c r="Q114" s="76"/>
      <c r="R114" s="76"/>
    </row>
    <row r="115" spans="8:18" s="65" customFormat="1" ht="14" customHeight="1">
      <c r="H115" s="92"/>
      <c r="M115" s="76"/>
      <c r="N115" s="76"/>
      <c r="O115" s="76"/>
      <c r="P115" s="76"/>
      <c r="Q115" s="76"/>
      <c r="R115" s="76"/>
    </row>
    <row r="116" spans="8:18" s="65" customFormat="1" ht="14" customHeight="1">
      <c r="H116" s="92"/>
      <c r="M116" s="76"/>
      <c r="N116" s="76"/>
      <c r="O116" s="76"/>
      <c r="P116" s="76"/>
      <c r="Q116" s="76"/>
      <c r="R116" s="76"/>
    </row>
    <row r="117" spans="8:18" s="65" customFormat="1" ht="14" customHeight="1">
      <c r="H117" s="92"/>
      <c r="M117" s="76"/>
      <c r="N117" s="76"/>
      <c r="O117" s="76"/>
      <c r="P117" s="76"/>
      <c r="Q117" s="76"/>
      <c r="R117" s="76"/>
    </row>
    <row r="118" spans="8:18" s="65" customFormat="1" ht="14" customHeight="1">
      <c r="H118" s="92"/>
      <c r="M118" s="76"/>
      <c r="N118" s="76"/>
      <c r="O118" s="76"/>
      <c r="P118" s="76"/>
      <c r="Q118" s="76"/>
      <c r="R118" s="76"/>
    </row>
    <row r="119" spans="8:18" s="65" customFormat="1" ht="14" customHeight="1">
      <c r="H119" s="92"/>
      <c r="M119" s="76"/>
      <c r="N119" s="76"/>
      <c r="O119" s="76"/>
      <c r="P119" s="76"/>
      <c r="Q119" s="76"/>
      <c r="R119" s="76"/>
    </row>
    <row r="120" spans="8:18" s="65" customFormat="1" ht="14" customHeight="1">
      <c r="H120" s="92"/>
      <c r="M120" s="76"/>
      <c r="N120" s="76"/>
      <c r="O120" s="76"/>
      <c r="P120" s="76"/>
      <c r="Q120" s="76"/>
      <c r="R120" s="76"/>
    </row>
    <row r="121" spans="8:18" s="65" customFormat="1" ht="14" customHeight="1">
      <c r="H121" s="92"/>
      <c r="M121" s="76"/>
      <c r="N121" s="76"/>
      <c r="O121" s="76"/>
      <c r="P121" s="76"/>
      <c r="Q121" s="76"/>
      <c r="R121" s="76"/>
    </row>
    <row r="122" spans="8:18" s="65" customFormat="1" ht="14" customHeight="1">
      <c r="H122" s="92"/>
      <c r="M122" s="76"/>
      <c r="N122" s="76"/>
      <c r="O122" s="76"/>
      <c r="P122" s="76"/>
      <c r="Q122" s="76"/>
      <c r="R122" s="76"/>
    </row>
    <row r="123" spans="8:18" s="65" customFormat="1" ht="14" customHeight="1">
      <c r="H123" s="92"/>
      <c r="M123" s="76"/>
      <c r="N123" s="76"/>
      <c r="O123" s="76"/>
      <c r="P123" s="76"/>
      <c r="Q123" s="76"/>
      <c r="R123" s="76"/>
    </row>
    <row r="124" spans="8:18" s="65" customFormat="1" ht="14" customHeight="1">
      <c r="H124" s="92"/>
      <c r="M124" s="76"/>
      <c r="N124" s="76"/>
      <c r="O124" s="76"/>
      <c r="P124" s="76"/>
      <c r="Q124" s="76"/>
      <c r="R124" s="76"/>
    </row>
    <row r="125" spans="8:18" s="65" customFormat="1" ht="14" customHeight="1">
      <c r="H125" s="92"/>
      <c r="M125" s="76"/>
      <c r="N125" s="76"/>
      <c r="O125" s="76"/>
      <c r="P125" s="76"/>
      <c r="Q125" s="76"/>
      <c r="R125" s="76"/>
    </row>
    <row r="126" spans="8:18" s="65" customFormat="1" ht="14" customHeight="1">
      <c r="H126" s="92"/>
      <c r="M126" s="76"/>
      <c r="N126" s="76"/>
      <c r="O126" s="76"/>
      <c r="P126" s="76"/>
      <c r="Q126" s="76"/>
      <c r="R126" s="76"/>
    </row>
    <row r="127" spans="8:18" s="65" customFormat="1" ht="14" customHeight="1">
      <c r="H127" s="92"/>
      <c r="M127" s="76"/>
      <c r="N127" s="76"/>
      <c r="O127" s="76"/>
      <c r="P127" s="76"/>
      <c r="Q127" s="76"/>
      <c r="R127" s="76"/>
    </row>
    <row r="128" spans="8:18" s="65" customFormat="1" ht="14" customHeight="1">
      <c r="H128" s="92"/>
      <c r="M128" s="76"/>
      <c r="N128" s="76"/>
      <c r="O128" s="76"/>
      <c r="P128" s="76"/>
      <c r="Q128" s="76"/>
      <c r="R128" s="76"/>
    </row>
    <row r="129" spans="8:18" s="65" customFormat="1" ht="14" customHeight="1">
      <c r="H129" s="92"/>
      <c r="M129" s="76"/>
      <c r="N129" s="76"/>
      <c r="O129" s="76"/>
      <c r="P129" s="76"/>
      <c r="Q129" s="76"/>
      <c r="R129" s="76"/>
    </row>
    <row r="130" spans="8:18" s="65" customFormat="1" ht="14" customHeight="1">
      <c r="H130" s="92"/>
      <c r="M130" s="76"/>
      <c r="N130" s="76"/>
      <c r="O130" s="76"/>
      <c r="P130" s="76"/>
      <c r="Q130" s="76"/>
      <c r="R130" s="76"/>
    </row>
    <row r="131" spans="8:18" s="65" customFormat="1" ht="14" customHeight="1">
      <c r="H131" s="92"/>
      <c r="M131" s="76"/>
      <c r="N131" s="76"/>
      <c r="O131" s="76"/>
      <c r="P131" s="76"/>
      <c r="Q131" s="76"/>
      <c r="R131" s="76"/>
    </row>
    <row r="132" spans="8:18" s="65" customFormat="1" ht="14" customHeight="1">
      <c r="H132" s="92"/>
      <c r="M132" s="76"/>
      <c r="N132" s="76"/>
      <c r="O132" s="76"/>
      <c r="P132" s="76"/>
      <c r="Q132" s="76"/>
      <c r="R132" s="76"/>
    </row>
    <row r="133" spans="8:18" s="65" customFormat="1" ht="14" customHeight="1">
      <c r="H133" s="92"/>
      <c r="M133" s="76"/>
      <c r="N133" s="76"/>
      <c r="O133" s="76"/>
      <c r="P133" s="76"/>
      <c r="Q133" s="76"/>
      <c r="R133" s="76"/>
    </row>
    <row r="134" spans="8:18" s="65" customFormat="1" ht="14" customHeight="1">
      <c r="H134" s="92"/>
      <c r="M134" s="76"/>
      <c r="N134" s="76"/>
      <c r="O134" s="76"/>
      <c r="P134" s="76"/>
      <c r="Q134" s="76"/>
      <c r="R134" s="76"/>
    </row>
    <row r="135" spans="8:18" s="65" customFormat="1" ht="14" customHeight="1">
      <c r="H135" s="92"/>
      <c r="M135" s="76"/>
      <c r="N135" s="76"/>
      <c r="O135" s="76"/>
      <c r="P135" s="76"/>
      <c r="Q135" s="76"/>
      <c r="R135" s="76"/>
    </row>
    <row r="136" spans="8:18" s="65" customFormat="1" ht="14" customHeight="1">
      <c r="H136" s="92"/>
      <c r="M136" s="76"/>
      <c r="N136" s="76"/>
      <c r="O136" s="76"/>
      <c r="P136" s="76"/>
      <c r="Q136" s="76"/>
      <c r="R136" s="76"/>
    </row>
    <row r="137" spans="8:18" s="65" customFormat="1" ht="14" customHeight="1">
      <c r="H137" s="92"/>
      <c r="M137" s="76"/>
      <c r="N137" s="76"/>
      <c r="O137" s="76"/>
      <c r="P137" s="76"/>
      <c r="Q137" s="76"/>
      <c r="R137" s="76"/>
    </row>
    <row r="138" spans="8:18" s="65" customFormat="1" ht="14" customHeight="1">
      <c r="H138" s="92"/>
      <c r="M138" s="76"/>
      <c r="N138" s="76"/>
      <c r="O138" s="76"/>
      <c r="P138" s="76"/>
      <c r="Q138" s="76"/>
      <c r="R138" s="76"/>
    </row>
    <row r="139" spans="8:18" s="65" customFormat="1" ht="14" customHeight="1">
      <c r="H139" s="92"/>
      <c r="M139" s="76"/>
      <c r="N139" s="76"/>
      <c r="O139" s="76"/>
      <c r="P139" s="76"/>
      <c r="Q139" s="76"/>
      <c r="R139" s="76"/>
    </row>
    <row r="140" spans="8:18" s="65" customFormat="1" ht="14" customHeight="1">
      <c r="H140" s="92"/>
      <c r="M140" s="76"/>
      <c r="N140" s="76"/>
      <c r="O140" s="76"/>
      <c r="P140" s="76"/>
      <c r="Q140" s="76"/>
      <c r="R140" s="76"/>
    </row>
    <row r="141" spans="8:18" s="65" customFormat="1" ht="14" customHeight="1">
      <c r="H141" s="92"/>
      <c r="M141" s="76"/>
      <c r="N141" s="76"/>
      <c r="O141" s="76"/>
      <c r="P141" s="76"/>
      <c r="Q141" s="76"/>
      <c r="R141" s="76"/>
    </row>
    <row r="142" spans="8:18" s="65" customFormat="1" ht="14" customHeight="1">
      <c r="H142" s="92"/>
      <c r="M142" s="76"/>
      <c r="N142" s="76"/>
      <c r="O142" s="76"/>
      <c r="P142" s="76"/>
      <c r="Q142" s="76"/>
      <c r="R142" s="76"/>
    </row>
    <row r="143" spans="8:18" s="65" customFormat="1" ht="14" customHeight="1">
      <c r="H143" s="92"/>
      <c r="M143" s="76"/>
      <c r="N143" s="76"/>
      <c r="O143" s="76"/>
      <c r="P143" s="76"/>
      <c r="Q143" s="76"/>
      <c r="R143" s="76"/>
    </row>
    <row r="144" spans="8:18" s="65" customFormat="1" ht="14" customHeight="1">
      <c r="H144" s="92"/>
      <c r="M144" s="76"/>
      <c r="N144" s="76"/>
      <c r="O144" s="76"/>
      <c r="P144" s="76"/>
      <c r="Q144" s="76"/>
      <c r="R144" s="76"/>
    </row>
    <row r="145" spans="8:18" s="65" customFormat="1" ht="14" customHeight="1">
      <c r="H145" s="92"/>
      <c r="M145" s="76"/>
      <c r="N145" s="76"/>
      <c r="O145" s="76"/>
      <c r="P145" s="76"/>
      <c r="Q145" s="76"/>
      <c r="R145" s="76"/>
    </row>
    <row r="146" spans="8:18" s="65" customFormat="1" ht="14" customHeight="1">
      <c r="H146" s="92"/>
      <c r="M146" s="76"/>
      <c r="N146" s="76"/>
      <c r="O146" s="76"/>
      <c r="P146" s="76"/>
      <c r="Q146" s="76"/>
      <c r="R146" s="76"/>
    </row>
    <row r="147" spans="8:18" s="65" customFormat="1" ht="14" customHeight="1">
      <c r="H147" s="92"/>
      <c r="M147" s="76"/>
      <c r="N147" s="76"/>
      <c r="O147" s="76"/>
      <c r="P147" s="76"/>
      <c r="Q147" s="76"/>
      <c r="R147" s="76"/>
    </row>
    <row r="148" spans="8:18" s="65" customFormat="1" ht="14" customHeight="1">
      <c r="H148" s="92"/>
      <c r="M148" s="76"/>
      <c r="N148" s="76"/>
      <c r="O148" s="76"/>
      <c r="P148" s="76"/>
      <c r="Q148" s="76"/>
      <c r="R148" s="76"/>
    </row>
    <row r="149" spans="8:18" s="65" customFormat="1" ht="14" customHeight="1">
      <c r="H149" s="92"/>
      <c r="M149" s="76"/>
      <c r="N149" s="76"/>
      <c r="O149" s="76"/>
      <c r="P149" s="76"/>
      <c r="Q149" s="76"/>
      <c r="R149" s="76"/>
    </row>
    <row r="150" spans="8:18" s="65" customFormat="1" ht="14" customHeight="1">
      <c r="H150" s="92"/>
      <c r="M150" s="76"/>
      <c r="N150" s="76"/>
      <c r="O150" s="76"/>
      <c r="P150" s="76"/>
      <c r="Q150" s="76"/>
      <c r="R150" s="76"/>
    </row>
    <row r="151" spans="8:18" s="65" customFormat="1" ht="14" customHeight="1">
      <c r="H151" s="92"/>
      <c r="M151" s="76"/>
      <c r="N151" s="76"/>
      <c r="O151" s="76"/>
      <c r="P151" s="76"/>
      <c r="Q151" s="76"/>
      <c r="R151" s="76"/>
    </row>
    <row r="152" spans="8:18" s="65" customFormat="1" ht="14" customHeight="1">
      <c r="H152" s="92"/>
      <c r="M152" s="76"/>
      <c r="N152" s="76"/>
      <c r="O152" s="76"/>
      <c r="P152" s="76"/>
      <c r="Q152" s="76"/>
      <c r="R152" s="76"/>
    </row>
    <row r="153" spans="8:18" s="65" customFormat="1" ht="14" customHeight="1">
      <c r="H153" s="92"/>
      <c r="M153" s="76"/>
      <c r="N153" s="76"/>
      <c r="O153" s="76"/>
      <c r="P153" s="76"/>
      <c r="Q153" s="76"/>
      <c r="R153" s="76"/>
    </row>
    <row r="154" spans="8:18" s="65" customFormat="1" ht="14" customHeight="1">
      <c r="H154" s="92"/>
      <c r="M154" s="76"/>
      <c r="N154" s="76"/>
      <c r="O154" s="76"/>
      <c r="P154" s="76"/>
      <c r="Q154" s="76"/>
      <c r="R154" s="76"/>
    </row>
    <row r="155" spans="8:18" s="65" customFormat="1" ht="14" customHeight="1">
      <c r="H155" s="92"/>
      <c r="M155" s="76"/>
      <c r="N155" s="76"/>
      <c r="O155" s="76"/>
      <c r="P155" s="76"/>
      <c r="Q155" s="76"/>
      <c r="R155" s="76"/>
    </row>
    <row r="156" spans="8:18" s="65" customFormat="1" ht="14" customHeight="1">
      <c r="H156" s="92"/>
      <c r="M156" s="76"/>
      <c r="N156" s="76"/>
      <c r="O156" s="76"/>
      <c r="P156" s="76"/>
      <c r="Q156" s="76"/>
      <c r="R156" s="76"/>
    </row>
    <row r="157" spans="8:18" s="65" customFormat="1" ht="14" customHeight="1">
      <c r="H157" s="92"/>
      <c r="M157" s="76"/>
      <c r="N157" s="76"/>
      <c r="O157" s="76"/>
      <c r="P157" s="76"/>
      <c r="Q157" s="76"/>
      <c r="R157" s="76"/>
    </row>
    <row r="158" spans="8:18" s="65" customFormat="1" ht="14" customHeight="1">
      <c r="H158" s="92"/>
      <c r="M158" s="76"/>
      <c r="N158" s="76"/>
      <c r="O158" s="76"/>
      <c r="P158" s="76"/>
      <c r="Q158" s="76"/>
      <c r="R158" s="76"/>
    </row>
    <row r="159" spans="8:18" s="65" customFormat="1" ht="14" customHeight="1">
      <c r="H159" s="92"/>
      <c r="M159" s="76"/>
      <c r="N159" s="76"/>
      <c r="O159" s="76"/>
      <c r="P159" s="76"/>
      <c r="Q159" s="76"/>
      <c r="R159" s="76"/>
    </row>
    <row r="160" spans="8:18" s="65" customFormat="1" ht="14" customHeight="1">
      <c r="H160" s="92"/>
      <c r="M160" s="76"/>
      <c r="N160" s="76"/>
      <c r="O160" s="76"/>
      <c r="P160" s="76"/>
      <c r="Q160" s="76"/>
      <c r="R160" s="76"/>
    </row>
    <row r="161" spans="8:18" s="65" customFormat="1" ht="14" customHeight="1">
      <c r="H161" s="92"/>
      <c r="M161" s="76"/>
      <c r="N161" s="76"/>
      <c r="O161" s="76"/>
      <c r="P161" s="76"/>
      <c r="Q161" s="76"/>
      <c r="R161" s="76"/>
    </row>
    <row r="162" spans="8:18" s="65" customFormat="1" ht="14" customHeight="1">
      <c r="H162" s="92"/>
      <c r="M162" s="76"/>
      <c r="N162" s="76"/>
      <c r="O162" s="76"/>
      <c r="P162" s="76"/>
      <c r="Q162" s="76"/>
      <c r="R162" s="76"/>
    </row>
    <row r="163" spans="8:18" s="65" customFormat="1" ht="14" customHeight="1">
      <c r="H163" s="92"/>
      <c r="M163" s="76"/>
      <c r="N163" s="76"/>
      <c r="O163" s="76"/>
      <c r="P163" s="76"/>
      <c r="Q163" s="76"/>
      <c r="R163" s="76"/>
    </row>
    <row r="164" spans="8:18" s="65" customFormat="1" ht="14" customHeight="1">
      <c r="H164" s="92"/>
      <c r="M164" s="76"/>
      <c r="N164" s="76"/>
      <c r="O164" s="76"/>
      <c r="P164" s="76"/>
      <c r="Q164" s="76"/>
      <c r="R164" s="76"/>
    </row>
    <row r="165" spans="8:18" s="65" customFormat="1" ht="14" customHeight="1">
      <c r="H165" s="92"/>
      <c r="M165" s="76"/>
      <c r="N165" s="76"/>
      <c r="O165" s="76"/>
      <c r="P165" s="76"/>
      <c r="Q165" s="76"/>
      <c r="R165" s="76"/>
    </row>
    <row r="166" spans="8:18" s="65" customFormat="1" ht="14" customHeight="1">
      <c r="H166" s="92"/>
      <c r="M166" s="76"/>
      <c r="N166" s="76"/>
      <c r="O166" s="76"/>
      <c r="P166" s="76"/>
      <c r="Q166" s="76"/>
      <c r="R166" s="76"/>
    </row>
    <row r="167" spans="8:18" s="65" customFormat="1" ht="14" customHeight="1">
      <c r="H167" s="92"/>
      <c r="M167" s="76"/>
      <c r="N167" s="76"/>
      <c r="O167" s="76"/>
      <c r="P167" s="76"/>
      <c r="Q167" s="76"/>
      <c r="R167" s="76"/>
    </row>
    <row r="168" spans="8:18" s="65" customFormat="1" ht="14" customHeight="1">
      <c r="H168" s="92"/>
      <c r="M168" s="76"/>
      <c r="N168" s="76"/>
      <c r="O168" s="76"/>
      <c r="P168" s="76"/>
      <c r="Q168" s="76"/>
      <c r="R168" s="76"/>
    </row>
    <row r="169" spans="8:18" s="65" customFormat="1" ht="14" customHeight="1">
      <c r="H169" s="92"/>
      <c r="M169" s="76"/>
      <c r="N169" s="76"/>
      <c r="O169" s="76"/>
      <c r="P169" s="76"/>
      <c r="Q169" s="76"/>
      <c r="R169" s="76"/>
    </row>
    <row r="170" spans="8:18" s="65" customFormat="1" ht="14" customHeight="1">
      <c r="H170" s="92"/>
      <c r="M170" s="76"/>
      <c r="N170" s="76"/>
      <c r="O170" s="76"/>
      <c r="P170" s="76"/>
      <c r="Q170" s="76"/>
      <c r="R170" s="76"/>
    </row>
    <row r="171" spans="8:18" s="65" customFormat="1" ht="14" customHeight="1">
      <c r="H171" s="92"/>
      <c r="M171" s="76"/>
      <c r="N171" s="76"/>
      <c r="O171" s="76"/>
      <c r="P171" s="76"/>
      <c r="Q171" s="76"/>
      <c r="R171" s="76"/>
    </row>
    <row r="172" spans="8:18" s="65" customFormat="1" ht="14" customHeight="1">
      <c r="H172" s="92"/>
      <c r="M172" s="76"/>
      <c r="N172" s="76"/>
      <c r="O172" s="76"/>
      <c r="P172" s="76"/>
      <c r="Q172" s="76"/>
      <c r="R172" s="76"/>
    </row>
    <row r="173" spans="8:18" s="65" customFormat="1" ht="14" customHeight="1">
      <c r="H173" s="92"/>
      <c r="M173" s="76"/>
      <c r="N173" s="76"/>
      <c r="O173" s="76"/>
      <c r="P173" s="76"/>
      <c r="Q173" s="76"/>
      <c r="R173" s="76"/>
    </row>
    <row r="174" spans="8:18" s="65" customFormat="1" ht="14" customHeight="1">
      <c r="H174" s="92"/>
      <c r="M174" s="76"/>
      <c r="N174" s="76"/>
      <c r="O174" s="76"/>
      <c r="P174" s="76"/>
      <c r="Q174" s="76"/>
      <c r="R174" s="76"/>
    </row>
    <row r="175" spans="8:18" s="65" customFormat="1" ht="14" customHeight="1">
      <c r="H175" s="92"/>
      <c r="M175" s="76"/>
      <c r="N175" s="76"/>
      <c r="O175" s="76"/>
      <c r="P175" s="76"/>
      <c r="Q175" s="76"/>
      <c r="R175" s="76"/>
    </row>
    <row r="176" spans="8:18" s="65" customFormat="1" ht="14" customHeight="1">
      <c r="H176" s="92"/>
      <c r="M176" s="76"/>
      <c r="N176" s="76"/>
      <c r="O176" s="76"/>
      <c r="P176" s="76"/>
      <c r="Q176" s="76"/>
      <c r="R176" s="76"/>
    </row>
    <row r="177" spans="8:18" s="65" customFormat="1" ht="14" customHeight="1">
      <c r="H177" s="92"/>
      <c r="M177" s="76"/>
      <c r="N177" s="76"/>
      <c r="O177" s="76"/>
      <c r="P177" s="76"/>
      <c r="Q177" s="76"/>
      <c r="R177" s="76"/>
    </row>
    <row r="178" spans="8:18" s="65" customFormat="1" ht="14" customHeight="1">
      <c r="H178" s="92"/>
      <c r="M178" s="76"/>
      <c r="N178" s="76"/>
      <c r="O178" s="76"/>
      <c r="P178" s="76"/>
      <c r="Q178" s="76"/>
      <c r="R178" s="76"/>
    </row>
    <row r="179" spans="8:18" s="65" customFormat="1" ht="14" customHeight="1">
      <c r="H179" s="92"/>
    </row>
  </sheetData>
  <sheetProtection password="CACC" sheet="1" objects="1" scenarios="1"/>
  <mergeCells count="46">
    <mergeCell ref="O15:Q26"/>
    <mergeCell ref="B5:B10"/>
    <mergeCell ref="D5:D10"/>
    <mergeCell ref="J1:M1"/>
    <mergeCell ref="B33:D33"/>
    <mergeCell ref="F2:G2"/>
    <mergeCell ref="E6:F6"/>
    <mergeCell ref="A1:G1"/>
    <mergeCell ref="B17:B26"/>
    <mergeCell ref="E15:F15"/>
    <mergeCell ref="E11:F11"/>
    <mergeCell ref="C11:C16"/>
    <mergeCell ref="D3:E3"/>
    <mergeCell ref="A5:A10"/>
    <mergeCell ref="E17:E21"/>
    <mergeCell ref="E16:F16"/>
    <mergeCell ref="A27:G27"/>
    <mergeCell ref="E7:F7"/>
    <mergeCell ref="H17:H26"/>
    <mergeCell ref="A2:C2"/>
    <mergeCell ref="B34:D34"/>
    <mergeCell ref="F3:G3"/>
    <mergeCell ref="E4:F4"/>
    <mergeCell ref="D2:E2"/>
    <mergeCell ref="E10:F10"/>
    <mergeCell ref="B11:B16"/>
    <mergeCell ref="D11:D16"/>
    <mergeCell ref="E13:F13"/>
    <mergeCell ref="E22:E26"/>
    <mergeCell ref="D17:D26"/>
    <mergeCell ref="E9:F9"/>
    <mergeCell ref="J18:L21"/>
    <mergeCell ref="A3:C3"/>
    <mergeCell ref="E14:F14"/>
    <mergeCell ref="J15:L17"/>
    <mergeCell ref="A11:A16"/>
    <mergeCell ref="C5:C10"/>
    <mergeCell ref="E8:F8"/>
    <mergeCell ref="J8:M8"/>
    <mergeCell ref="H11:H16"/>
    <mergeCell ref="H2:H4"/>
    <mergeCell ref="A17:A26"/>
    <mergeCell ref="E12:F12"/>
    <mergeCell ref="H5:H10"/>
    <mergeCell ref="C17:C26"/>
    <mergeCell ref="E5:F5"/>
  </mergeCells>
  <phoneticPr fontId="46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609"/>
  <sheetViews>
    <sheetView tabSelected="1" zoomScale="145" zoomScaleNormal="145" workbookViewId="0">
      <pane xSplit="1" ySplit="9" topLeftCell="B10" activePane="bottomRight" state="frozen"/>
      <selection pane="topRight"/>
      <selection pane="bottomLeft"/>
      <selection pane="bottomRight" activeCell="C39" sqref="C39"/>
    </sheetView>
  </sheetViews>
  <sheetFormatPr defaultColWidth="9" defaultRowHeight="19.5" customHeight="1"/>
  <cols>
    <col min="1" max="1" width="4.26953125" style="50" customWidth="1"/>
    <col min="2" max="2" width="22.08984375" style="50" customWidth="1"/>
    <col min="3" max="3" width="12.26953125" style="50" customWidth="1"/>
    <col min="4" max="4" width="6.453125" style="50" customWidth="1"/>
    <col min="5" max="5" width="7.7265625" style="50" customWidth="1"/>
    <col min="6" max="7" width="8.453125" style="50" customWidth="1"/>
    <col min="8" max="8" width="8.08984375" style="50" customWidth="1"/>
    <col min="9" max="9" width="7.453125" style="50" customWidth="1"/>
    <col min="10" max="10" width="5.453125" style="50" customWidth="1"/>
    <col min="11" max="11" width="8.7265625" style="50" customWidth="1"/>
    <col min="12" max="12" width="6.453125" style="50" customWidth="1"/>
    <col min="13" max="14" width="5.6328125" style="50" customWidth="1"/>
    <col min="15" max="15" width="6" style="50" customWidth="1"/>
    <col min="16" max="16" width="4.90625" style="50" customWidth="1"/>
    <col min="17" max="18" width="6.7265625" style="50" customWidth="1"/>
    <col min="19" max="19" width="9.6328125" style="50" customWidth="1"/>
    <col min="20" max="33" width="6.7265625" style="51" customWidth="1"/>
    <col min="34" max="94" width="9" style="51" customWidth="1"/>
    <col min="95" max="96" width="9" style="50" customWidth="1"/>
    <col min="97" max="16384" width="9" style="50"/>
  </cols>
  <sheetData>
    <row r="1" spans="1:19" ht="13" customHeight="1">
      <c r="A1" s="130" t="s">
        <v>0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0" t="s">
        <v>1</v>
      </c>
      <c r="N1" s="118"/>
      <c r="O1" s="118"/>
      <c r="P1" s="118"/>
      <c r="Q1" s="118"/>
      <c r="R1" s="118"/>
      <c r="S1" s="119"/>
    </row>
    <row r="2" spans="1:19" ht="27" customHeight="1">
      <c r="A2" s="37" t="s">
        <v>2</v>
      </c>
      <c r="B2" s="37" t="s">
        <v>3</v>
      </c>
      <c r="C2" s="37" t="s">
        <v>4</v>
      </c>
      <c r="D2" s="37" t="s">
        <v>5</v>
      </c>
      <c r="E2" s="37" t="s">
        <v>6</v>
      </c>
      <c r="F2" s="37" t="s">
        <v>7</v>
      </c>
      <c r="G2" s="41" t="s">
        <v>8</v>
      </c>
      <c r="H2" s="52" t="s">
        <v>9</v>
      </c>
      <c r="M2" s="121"/>
      <c r="N2" s="122"/>
      <c r="O2" s="122"/>
      <c r="P2" s="122"/>
      <c r="Q2" s="122"/>
      <c r="R2" s="122"/>
      <c r="S2" s="123"/>
    </row>
    <row r="3" spans="1:19" ht="15" customHeight="1">
      <c r="A3" s="41">
        <v>1</v>
      </c>
      <c r="B3" s="37" t="s">
        <v>10</v>
      </c>
      <c r="C3" s="53">
        <f>K10</f>
        <v>75</v>
      </c>
      <c r="D3" s="39" t="str">
        <f>IF($Q$9=1,"0.30",IF($Q$9=2,"0.40"))</f>
        <v>0.30</v>
      </c>
      <c r="E3" s="54">
        <v>0.3</v>
      </c>
      <c r="F3" s="39">
        <f t="shared" ref="F3:F8" si="0">E3/(SUM(E$3:E$8))</f>
        <v>0.39999999999999997</v>
      </c>
      <c r="G3" s="110">
        <f>C3*F3+C4*F4+C5*F5+C6*F6+C7*F7+C8*F8</f>
        <v>84.666666666666657</v>
      </c>
      <c r="H3" s="129">
        <f>MIN(IF(E3&gt;0,C3,100),IF(E4&gt;0,C4,100),IF(E5&gt;0,C5,100),IF(E6&gt;0,C6,100),IF(E7&gt;0,C7,100),IF(E8&gt;0,C8,100))</f>
        <v>60</v>
      </c>
      <c r="M3" s="121"/>
      <c r="N3" s="122"/>
      <c r="O3" s="122"/>
      <c r="P3" s="122"/>
      <c r="Q3" s="122"/>
      <c r="R3" s="122"/>
      <c r="S3" s="123"/>
    </row>
    <row r="4" spans="1:19" ht="15" customHeight="1">
      <c r="A4" s="41">
        <v>2</v>
      </c>
      <c r="B4" s="37" t="s">
        <v>11</v>
      </c>
      <c r="C4" s="53">
        <f>K35</f>
        <v>60</v>
      </c>
      <c r="D4" s="39" t="str">
        <f>IF($Q$9=1,"0.10",IF($Q$9=2,"0.25"))</f>
        <v>0.10</v>
      </c>
      <c r="E4" s="54">
        <v>0.1</v>
      </c>
      <c r="F4" s="39">
        <f t="shared" si="0"/>
        <v>0.13333333333333333</v>
      </c>
      <c r="G4" s="108"/>
      <c r="H4" s="108"/>
      <c r="M4" s="121"/>
      <c r="N4" s="122"/>
      <c r="O4" s="122"/>
      <c r="P4" s="122"/>
      <c r="Q4" s="122"/>
      <c r="R4" s="122"/>
      <c r="S4" s="123"/>
    </row>
    <row r="5" spans="1:19" ht="15" customHeight="1">
      <c r="A5" s="41">
        <v>3</v>
      </c>
      <c r="B5" s="37" t="s">
        <v>12</v>
      </c>
      <c r="C5" s="53">
        <f>K22</f>
        <v>100</v>
      </c>
      <c r="D5" s="39" t="str">
        <f>IF($Q$9=1,"0.25",IF($Q$9=2,"0.15"))</f>
        <v>0.25</v>
      </c>
      <c r="E5" s="54">
        <v>0.25</v>
      </c>
      <c r="F5" s="39">
        <f t="shared" si="0"/>
        <v>0.33333333333333331</v>
      </c>
      <c r="G5" s="108"/>
      <c r="H5" s="108"/>
      <c r="M5" s="124"/>
      <c r="N5" s="125"/>
      <c r="O5" s="125"/>
      <c r="P5" s="125"/>
      <c r="Q5" s="125"/>
      <c r="R5" s="125"/>
      <c r="S5" s="126"/>
    </row>
    <row r="6" spans="1:19" ht="15" customHeight="1">
      <c r="A6" s="41">
        <v>4</v>
      </c>
      <c r="B6" s="37" t="s">
        <v>13</v>
      </c>
      <c r="C6" s="53">
        <f>K31</f>
        <v>100</v>
      </c>
      <c r="D6" s="39" t="str">
        <f>IF($Q$9=1,"0.10",IF($Q$9=2,"0.20"))</f>
        <v>0.10</v>
      </c>
      <c r="E6" s="54">
        <v>0.1</v>
      </c>
      <c r="F6" s="39">
        <f t="shared" si="0"/>
        <v>0.13333333333333333</v>
      </c>
      <c r="G6" s="108"/>
      <c r="H6" s="108"/>
      <c r="M6" s="127" t="s">
        <v>14</v>
      </c>
      <c r="N6" s="118"/>
      <c r="O6" s="118"/>
      <c r="P6" s="118"/>
      <c r="Q6" s="118"/>
      <c r="R6" s="118"/>
      <c r="S6" s="119"/>
    </row>
    <row r="7" spans="1:19" ht="15" customHeight="1">
      <c r="A7" s="41">
        <v>5</v>
      </c>
      <c r="B7" s="37" t="s">
        <v>15</v>
      </c>
      <c r="C7" s="53">
        <f>K20</f>
        <v>100</v>
      </c>
      <c r="D7" s="39" t="str">
        <f>IF($Q$9=1,"0.15",IF($Q$9=2,"0"))</f>
        <v>0.15</v>
      </c>
      <c r="E7" s="54">
        <v>0</v>
      </c>
      <c r="F7" s="39">
        <f t="shared" si="0"/>
        <v>0</v>
      </c>
      <c r="G7" s="108"/>
      <c r="H7" s="108"/>
      <c r="M7" s="121"/>
      <c r="N7" s="122"/>
      <c r="O7" s="122"/>
      <c r="P7" s="122"/>
      <c r="Q7" s="122"/>
      <c r="R7" s="122"/>
      <c r="S7" s="123"/>
    </row>
    <row r="8" spans="1:19" ht="15" customHeight="1">
      <c r="A8" s="41">
        <v>6</v>
      </c>
      <c r="B8" s="37" t="s">
        <v>16</v>
      </c>
      <c r="C8" s="53">
        <f>K38</f>
        <v>100</v>
      </c>
      <c r="D8" s="39" t="str">
        <f>IF($Q$9=1,"0.10",IF($Q$9=2,"0"))</f>
        <v>0.10</v>
      </c>
      <c r="E8" s="54">
        <v>0</v>
      </c>
      <c r="F8" s="39">
        <f t="shared" si="0"/>
        <v>0</v>
      </c>
      <c r="G8" s="109"/>
      <c r="H8" s="109"/>
      <c r="M8" s="124"/>
      <c r="N8" s="125"/>
      <c r="O8" s="125"/>
      <c r="P8" s="125"/>
      <c r="Q8" s="125"/>
      <c r="R8" s="125"/>
      <c r="S8" s="126"/>
    </row>
    <row r="9" spans="1:19" ht="27" customHeight="1">
      <c r="A9" s="55" t="s">
        <v>17</v>
      </c>
      <c r="B9" s="56" t="s">
        <v>18</v>
      </c>
      <c r="C9" s="56" t="s">
        <v>19</v>
      </c>
      <c r="D9" s="56" t="s">
        <v>20</v>
      </c>
      <c r="E9" s="56" t="s">
        <v>21</v>
      </c>
      <c r="F9" s="56" t="s">
        <v>22</v>
      </c>
      <c r="G9" s="56" t="s">
        <v>23</v>
      </c>
      <c r="H9" s="56" t="s">
        <v>24</v>
      </c>
      <c r="I9" s="56" t="s">
        <v>25</v>
      </c>
      <c r="J9" s="56" t="s">
        <v>26</v>
      </c>
      <c r="K9" s="56" t="s">
        <v>27</v>
      </c>
      <c r="L9" s="49"/>
      <c r="M9" s="117" t="s">
        <v>28</v>
      </c>
      <c r="N9" s="118"/>
      <c r="O9" s="118"/>
      <c r="P9" s="119"/>
      <c r="Q9" s="113">
        <v>1</v>
      </c>
      <c r="R9" s="114"/>
      <c r="S9" s="115"/>
    </row>
    <row r="10" spans="1:19" ht="12.75" customHeight="1">
      <c r="A10" s="107" t="s">
        <v>10</v>
      </c>
      <c r="B10" s="41" t="s">
        <v>29</v>
      </c>
      <c r="C10" s="57" t="s">
        <v>30</v>
      </c>
      <c r="D10" s="58">
        <f>IF(C10="无",0,IF(C10="&lt;3%",5,IF(C10="3%~10%",15,IF(C10="&gt;10%",40))))</f>
        <v>0</v>
      </c>
      <c r="E10" s="39">
        <f t="shared" ref="E10:E40" si="1">IF(D10=0,0,3*POWER(G10,3)-5.5*POWER(G10,2)+3.5*G10)</f>
        <v>0</v>
      </c>
      <c r="F10" s="39">
        <f t="shared" ref="F10:F40" si="2">D10*E10</f>
        <v>0</v>
      </c>
      <c r="G10" s="39">
        <f>IF(SUM(D10:D19)=0,0,D10/(SUM(D10:D19)))</f>
        <v>0</v>
      </c>
      <c r="H10" s="116">
        <f>MAX(D10:D19)</f>
        <v>25</v>
      </c>
      <c r="I10" s="110">
        <f>SUM(F10:F19)</f>
        <v>25</v>
      </c>
      <c r="J10" s="110">
        <f>IF(I10&lt;H10,H10,IF(I10&gt;=100,"100",IF(I10&gt;=H10,I10,)))</f>
        <v>25</v>
      </c>
      <c r="K10" s="111">
        <f>100-J10</f>
        <v>75</v>
      </c>
      <c r="L10" s="49"/>
      <c r="M10" s="49"/>
      <c r="N10" s="49"/>
      <c r="O10" s="49"/>
      <c r="P10" s="49"/>
      <c r="Q10" s="49"/>
      <c r="R10" s="49"/>
      <c r="S10" s="49"/>
    </row>
    <row r="11" spans="1:19" ht="12.75" customHeight="1">
      <c r="A11" s="108"/>
      <c r="B11" s="41" t="s">
        <v>31</v>
      </c>
      <c r="C11" s="59" t="s">
        <v>30</v>
      </c>
      <c r="D11" s="58">
        <f>IF(C11="无",0,IF(C11="&lt;3%",5,IF(C11="3%~10%",15,IF(C11="&gt;10%",40))))</f>
        <v>0</v>
      </c>
      <c r="E11" s="39">
        <f t="shared" si="1"/>
        <v>0</v>
      </c>
      <c r="F11" s="39">
        <f t="shared" si="2"/>
        <v>0</v>
      </c>
      <c r="G11" s="39">
        <f t="shared" ref="G11:G19" si="3">IF(SUM($D$10:$D$19)=0,0,D11/(SUM($D$10:$D$19)))</f>
        <v>0</v>
      </c>
      <c r="H11" s="108"/>
      <c r="I11" s="108"/>
      <c r="J11" s="108"/>
      <c r="K11" s="108"/>
      <c r="L11" s="49"/>
      <c r="M11" s="49"/>
      <c r="N11" s="49"/>
      <c r="O11" s="49"/>
      <c r="P11" s="49"/>
      <c r="Q11" s="49"/>
      <c r="R11" s="49"/>
      <c r="S11" s="49"/>
    </row>
    <row r="12" spans="1:19" ht="12.75" customHeight="1">
      <c r="A12" s="108"/>
      <c r="B12" s="41" t="s">
        <v>32</v>
      </c>
      <c r="C12" s="59" t="s">
        <v>33</v>
      </c>
      <c r="D12" s="58">
        <f>IF(C12="无",0,IF(C12="&lt;3%",25,IF(C12="3%~5%",45,IF(C12="&gt;5%",65))))</f>
        <v>25</v>
      </c>
      <c r="E12" s="39">
        <f t="shared" si="1"/>
        <v>1</v>
      </c>
      <c r="F12" s="39">
        <f t="shared" si="2"/>
        <v>25</v>
      </c>
      <c r="G12" s="39">
        <f t="shared" si="3"/>
        <v>1</v>
      </c>
      <c r="H12" s="108"/>
      <c r="I12" s="108"/>
      <c r="J12" s="108"/>
      <c r="K12" s="108"/>
      <c r="L12" s="49"/>
      <c r="M12" s="49"/>
      <c r="N12" s="49"/>
      <c r="O12" s="49"/>
      <c r="P12" s="49"/>
      <c r="Q12" s="49"/>
      <c r="R12" s="49"/>
      <c r="S12" s="49"/>
    </row>
    <row r="13" spans="1:19" ht="12.75" customHeight="1">
      <c r="A13" s="108"/>
      <c r="B13" s="41" t="s">
        <v>34</v>
      </c>
      <c r="C13" s="59" t="s">
        <v>30</v>
      </c>
      <c r="D13" s="58">
        <f>IF(C13="无",0,IF(C13="&lt;3%",40,IF(C13="3%~5%",65,IF(C13="&gt;5%",80))))</f>
        <v>0</v>
      </c>
      <c r="E13" s="39">
        <f t="shared" si="1"/>
        <v>0</v>
      </c>
      <c r="F13" s="39">
        <f t="shared" si="2"/>
        <v>0</v>
      </c>
      <c r="G13" s="39">
        <f t="shared" si="3"/>
        <v>0</v>
      </c>
      <c r="H13" s="108"/>
      <c r="I13" s="108"/>
      <c r="J13" s="108"/>
      <c r="K13" s="108"/>
      <c r="L13" s="51"/>
      <c r="M13" s="51"/>
      <c r="N13" s="60"/>
      <c r="O13" s="51"/>
      <c r="P13" s="51"/>
      <c r="Q13" s="51"/>
      <c r="R13" s="51"/>
      <c r="S13" s="51"/>
    </row>
    <row r="14" spans="1:19" ht="12.75" customHeight="1">
      <c r="A14" s="108"/>
      <c r="B14" s="41" t="s">
        <v>35</v>
      </c>
      <c r="C14" s="59" t="s">
        <v>30</v>
      </c>
      <c r="D14" s="58">
        <f>IF(C14="无",0,IF(C14="1个",50,IF(C14="2个",65,IF(C14="≥3个",80))))</f>
        <v>0</v>
      </c>
      <c r="E14" s="39">
        <f t="shared" si="1"/>
        <v>0</v>
      </c>
      <c r="F14" s="39">
        <f t="shared" si="2"/>
        <v>0</v>
      </c>
      <c r="G14" s="39">
        <f t="shared" si="3"/>
        <v>0</v>
      </c>
      <c r="H14" s="108"/>
      <c r="I14" s="108"/>
      <c r="J14" s="108"/>
      <c r="K14" s="108"/>
      <c r="L14" s="51"/>
      <c r="M14" s="51"/>
      <c r="N14" s="51"/>
      <c r="O14" s="51"/>
      <c r="P14" s="51"/>
      <c r="Q14" s="51"/>
      <c r="R14" s="51"/>
      <c r="S14" s="51"/>
    </row>
    <row r="15" spans="1:19" ht="12.75" customHeight="1">
      <c r="A15" s="108"/>
      <c r="B15" s="41" t="s">
        <v>36</v>
      </c>
      <c r="C15" s="59" t="s">
        <v>30</v>
      </c>
      <c r="D15" s="58">
        <f>IF(C15="无",0,IF(C15="半贯通",5,IF(C15="贯通",15)))</f>
        <v>0</v>
      </c>
      <c r="E15" s="39">
        <f t="shared" si="1"/>
        <v>0</v>
      </c>
      <c r="F15" s="39">
        <f t="shared" si="2"/>
        <v>0</v>
      </c>
      <c r="G15" s="39">
        <f t="shared" si="3"/>
        <v>0</v>
      </c>
      <c r="H15" s="108"/>
      <c r="I15" s="108"/>
      <c r="J15" s="108"/>
      <c r="K15" s="108"/>
      <c r="L15" s="51"/>
      <c r="M15" s="51"/>
      <c r="N15" s="51"/>
      <c r="O15" s="51"/>
      <c r="P15" s="51"/>
      <c r="Q15" s="51"/>
      <c r="R15" s="51"/>
      <c r="S15" s="51"/>
    </row>
    <row r="16" spans="1:19" ht="12.75" customHeight="1">
      <c r="A16" s="108"/>
      <c r="B16" s="41" t="s">
        <v>37</v>
      </c>
      <c r="C16" s="59" t="s">
        <v>30</v>
      </c>
      <c r="D16" s="58">
        <f>IF(C16="无",0,IF(C16="半贯通",5,IF(C16="贯通",15)))</f>
        <v>0</v>
      </c>
      <c r="E16" s="39">
        <f t="shared" si="1"/>
        <v>0</v>
      </c>
      <c r="F16" s="39">
        <f t="shared" si="2"/>
        <v>0</v>
      </c>
      <c r="G16" s="39">
        <f t="shared" si="3"/>
        <v>0</v>
      </c>
      <c r="H16" s="108"/>
      <c r="I16" s="108"/>
      <c r="J16" s="108"/>
      <c r="K16" s="108"/>
      <c r="L16" s="49"/>
      <c r="M16" s="49"/>
      <c r="N16" s="49"/>
      <c r="O16" s="49"/>
      <c r="P16" s="49"/>
      <c r="Q16" s="49"/>
      <c r="R16" s="49"/>
      <c r="S16" s="49"/>
    </row>
    <row r="17" spans="1:19" ht="12.75" customHeight="1">
      <c r="A17" s="108"/>
      <c r="B17" s="41" t="s">
        <v>38</v>
      </c>
      <c r="C17" s="59" t="s">
        <v>30</v>
      </c>
      <c r="D17" s="58">
        <f>IF(C17="无",0,IF(C17="0%~3%",5,IF(C17="3%~10%",15,IF(C17="&gt;10%",40))))</f>
        <v>0</v>
      </c>
      <c r="E17" s="39">
        <f t="shared" si="1"/>
        <v>0</v>
      </c>
      <c r="F17" s="39">
        <f t="shared" si="2"/>
        <v>0</v>
      </c>
      <c r="G17" s="39">
        <f t="shared" si="3"/>
        <v>0</v>
      </c>
      <c r="H17" s="108"/>
      <c r="I17" s="108"/>
      <c r="J17" s="108"/>
      <c r="K17" s="108"/>
      <c r="L17" s="49"/>
      <c r="M17" s="49"/>
      <c r="N17" s="49"/>
      <c r="O17" s="49"/>
      <c r="P17" s="49"/>
      <c r="Q17" s="49"/>
      <c r="R17" s="49"/>
      <c r="S17" s="49"/>
    </row>
    <row r="18" spans="1:19" ht="12.75" customHeight="1">
      <c r="A18" s="108"/>
      <c r="B18" s="41" t="s">
        <v>39</v>
      </c>
      <c r="C18" s="59" t="s">
        <v>30</v>
      </c>
      <c r="D18" s="58">
        <f>IF(C18="无",0,IF(C18="0%~3%",5,IF(C18="3%~10%",15,IF(C18="&gt;10%",30))))</f>
        <v>0</v>
      </c>
      <c r="E18" s="39">
        <f t="shared" si="1"/>
        <v>0</v>
      </c>
      <c r="F18" s="39">
        <f t="shared" si="2"/>
        <v>0</v>
      </c>
      <c r="G18" s="39">
        <f t="shared" si="3"/>
        <v>0</v>
      </c>
      <c r="H18" s="108"/>
      <c r="I18" s="108"/>
      <c r="J18" s="108"/>
      <c r="K18" s="108"/>
      <c r="L18" s="49"/>
      <c r="M18" s="49"/>
      <c r="N18" s="49"/>
      <c r="O18" s="49"/>
      <c r="P18" s="49"/>
      <c r="Q18" s="49"/>
      <c r="R18" s="49"/>
      <c r="S18" s="49"/>
    </row>
    <row r="19" spans="1:19" ht="12.75" customHeight="1">
      <c r="A19" s="109"/>
      <c r="B19" s="37" t="s">
        <v>40</v>
      </c>
      <c r="C19" s="59" t="s">
        <v>41</v>
      </c>
      <c r="D19" s="58">
        <f>IF(C19="足够",0,IF(C19="临界",40,IF(C19="不足(*)",80)))</f>
        <v>0</v>
      </c>
      <c r="E19" s="39">
        <f t="shared" si="1"/>
        <v>0</v>
      </c>
      <c r="F19" s="39">
        <f t="shared" si="2"/>
        <v>0</v>
      </c>
      <c r="G19" s="39">
        <f t="shared" si="3"/>
        <v>0</v>
      </c>
      <c r="H19" s="109"/>
      <c r="I19" s="109"/>
      <c r="J19" s="109"/>
      <c r="K19" s="109"/>
      <c r="L19" s="49"/>
      <c r="M19" s="49"/>
      <c r="N19" s="49"/>
      <c r="O19" s="49"/>
      <c r="P19" s="49"/>
      <c r="Q19" s="49"/>
      <c r="R19" s="49"/>
      <c r="S19" s="49"/>
    </row>
    <row r="20" spans="1:19" ht="12.75" customHeight="1">
      <c r="A20" s="112" t="s">
        <v>15</v>
      </c>
      <c r="B20" s="37" t="s">
        <v>42</v>
      </c>
      <c r="C20" s="59" t="s">
        <v>30</v>
      </c>
      <c r="D20" s="58">
        <f>IF(C20="无",0,IF(C20="轻微",15,IF(C20="明显",40)))</f>
        <v>0</v>
      </c>
      <c r="E20" s="39">
        <f t="shared" si="1"/>
        <v>0</v>
      </c>
      <c r="F20" s="39">
        <f t="shared" si="2"/>
        <v>0</v>
      </c>
      <c r="G20" s="39">
        <f>IF(SUM(D$20:D$21)=0,0,D20/(SUM(D$20:D$21)))</f>
        <v>0</v>
      </c>
      <c r="H20" s="110">
        <f>MAX(D20:D21)</f>
        <v>0</v>
      </c>
      <c r="I20" s="110">
        <f>SUM(F20:F21)</f>
        <v>0</v>
      </c>
      <c r="J20" s="110">
        <f>IF(I20&lt;H20,H20,IF(I20&gt;=100,"100",IF(I20&gt;=H20,I20)))</f>
        <v>0</v>
      </c>
      <c r="K20" s="111">
        <f>100-J20</f>
        <v>100</v>
      </c>
      <c r="L20" s="49"/>
      <c r="M20" s="49"/>
      <c r="N20" s="49"/>
      <c r="O20" s="49"/>
      <c r="P20" s="49"/>
      <c r="Q20" s="49"/>
      <c r="R20" s="49"/>
      <c r="S20" s="49"/>
    </row>
    <row r="21" spans="1:19" ht="12.75" customHeight="1">
      <c r="A21" s="109"/>
      <c r="B21" s="37" t="s">
        <v>43</v>
      </c>
      <c r="C21" s="59" t="s">
        <v>30</v>
      </c>
      <c r="D21" s="58">
        <f>IF(C21="无",0,IF(C21="＜2cm",15,IF(C21="2cm~5cm",40,IF(C21="&gt;5cm",80))))</f>
        <v>0</v>
      </c>
      <c r="E21" s="39">
        <f t="shared" si="1"/>
        <v>0</v>
      </c>
      <c r="F21" s="39">
        <f t="shared" si="2"/>
        <v>0</v>
      </c>
      <c r="G21" s="39">
        <f>IF(SUM(D$20:D$21)=0,0,D21/(SUM(D$20:D$21)))</f>
        <v>0</v>
      </c>
      <c r="H21" s="109"/>
      <c r="I21" s="109"/>
      <c r="J21" s="109"/>
      <c r="K21" s="109"/>
      <c r="L21" s="49"/>
      <c r="M21" s="49"/>
      <c r="N21" s="49"/>
      <c r="O21" s="49"/>
      <c r="P21" s="49"/>
      <c r="Q21" s="49"/>
      <c r="R21" s="49"/>
      <c r="S21" s="49"/>
    </row>
    <row r="22" spans="1:19" ht="12.75" customHeight="1">
      <c r="A22" s="112" t="s">
        <v>44</v>
      </c>
      <c r="B22" s="37" t="s">
        <v>45</v>
      </c>
      <c r="C22" s="59" t="s">
        <v>30</v>
      </c>
      <c r="D22" s="58">
        <f>IF(C22="无",0,IF(C22="1个~5个",15,IF(C22="&gt;5个",40)))</f>
        <v>0</v>
      </c>
      <c r="E22" s="39">
        <f t="shared" si="1"/>
        <v>0</v>
      </c>
      <c r="F22" s="39">
        <f t="shared" si="2"/>
        <v>0</v>
      </c>
      <c r="G22" s="39">
        <f t="shared" ref="G22:G30" si="4">IF(SUM(D$22:D$30)=0,0,D22/(SUM(D$22:D$30)))</f>
        <v>0</v>
      </c>
      <c r="H22" s="107">
        <f>MAX(D22:D30)</f>
        <v>0</v>
      </c>
      <c r="I22" s="110">
        <f>SUM(F22:F30)</f>
        <v>0</v>
      </c>
      <c r="J22" s="107">
        <f>IF(I22&lt;H22,H22,IF(I22&gt;=100,"100",IF(I22&gt;=H22,I22)))</f>
        <v>0</v>
      </c>
      <c r="K22" s="111">
        <f>100-J22</f>
        <v>100</v>
      </c>
      <c r="L22" s="49"/>
      <c r="M22" s="49"/>
      <c r="N22" s="49"/>
      <c r="O22" s="49"/>
      <c r="P22" s="49"/>
      <c r="Q22" s="49"/>
      <c r="R22" s="49"/>
      <c r="S22" s="49"/>
    </row>
    <row r="23" spans="1:19" ht="12.75" customHeight="1">
      <c r="A23" s="108"/>
      <c r="B23" s="37" t="s">
        <v>46</v>
      </c>
      <c r="C23" s="59" t="s">
        <v>30</v>
      </c>
      <c r="D23" s="58">
        <f>IF(C23="无",0,IF(C23="少量",5,IF(C23="严重",15)))</f>
        <v>0</v>
      </c>
      <c r="E23" s="39">
        <f t="shared" si="1"/>
        <v>0</v>
      </c>
      <c r="F23" s="39">
        <f t="shared" si="2"/>
        <v>0</v>
      </c>
      <c r="G23" s="39">
        <f t="shared" si="4"/>
        <v>0</v>
      </c>
      <c r="H23" s="108"/>
      <c r="I23" s="108"/>
      <c r="J23" s="108"/>
      <c r="K23" s="108"/>
      <c r="L23" s="49"/>
      <c r="M23" s="49"/>
      <c r="N23" s="49"/>
      <c r="O23" s="49"/>
      <c r="P23" s="49"/>
      <c r="Q23" s="49"/>
      <c r="R23" s="49"/>
      <c r="S23" s="49"/>
    </row>
    <row r="24" spans="1:19" ht="12.75" customHeight="1">
      <c r="A24" s="108"/>
      <c r="B24" s="37" t="s">
        <v>47</v>
      </c>
      <c r="C24" s="59" t="s">
        <v>30</v>
      </c>
      <c r="D24" s="58">
        <f>IF(C24="无",0,IF(C24="轻微",15,IF(C24="严重",40)))</f>
        <v>0</v>
      </c>
      <c r="E24" s="39">
        <f t="shared" si="1"/>
        <v>0</v>
      </c>
      <c r="F24" s="39">
        <f t="shared" si="2"/>
        <v>0</v>
      </c>
      <c r="G24" s="39">
        <f t="shared" si="4"/>
        <v>0</v>
      </c>
      <c r="H24" s="108"/>
      <c r="I24" s="108"/>
      <c r="J24" s="108"/>
      <c r="K24" s="108"/>
      <c r="L24" s="49"/>
      <c r="M24" s="49"/>
      <c r="N24" s="49"/>
      <c r="O24" s="49"/>
      <c r="P24" s="49"/>
      <c r="Q24" s="49"/>
      <c r="R24" s="49"/>
      <c r="S24" s="49"/>
    </row>
    <row r="25" spans="1:19" ht="12.75" customHeight="1">
      <c r="A25" s="108"/>
      <c r="B25" s="37" t="s">
        <v>48</v>
      </c>
      <c r="C25" s="59" t="s">
        <v>30</v>
      </c>
      <c r="D25" s="58">
        <f>IF(C25="无",0,IF(C25="轻微",40,IF(C25="严重",65)))</f>
        <v>0</v>
      </c>
      <c r="E25" s="39">
        <f t="shared" si="1"/>
        <v>0</v>
      </c>
      <c r="F25" s="39">
        <f t="shared" si="2"/>
        <v>0</v>
      </c>
      <c r="G25" s="39">
        <f t="shared" si="4"/>
        <v>0</v>
      </c>
      <c r="H25" s="108"/>
      <c r="I25" s="108"/>
      <c r="J25" s="108"/>
      <c r="K25" s="108"/>
      <c r="L25" s="49"/>
      <c r="M25" s="49"/>
      <c r="N25" s="49"/>
      <c r="O25" s="49"/>
      <c r="P25" s="49"/>
      <c r="Q25" s="49"/>
      <c r="R25" s="49"/>
      <c r="S25" s="49"/>
    </row>
    <row r="26" spans="1:19" ht="12.75" customHeight="1">
      <c r="A26" s="108"/>
      <c r="B26" s="37" t="s">
        <v>49</v>
      </c>
      <c r="C26" s="61" t="s">
        <v>30</v>
      </c>
      <c r="D26" s="58">
        <f>IF(C26="无",0,IF(C26="轻微",40,IF(C26="严重",65)))</f>
        <v>0</v>
      </c>
      <c r="E26" s="39">
        <f t="shared" si="1"/>
        <v>0</v>
      </c>
      <c r="F26" s="39">
        <f t="shared" si="2"/>
        <v>0</v>
      </c>
      <c r="G26" s="39">
        <f t="shared" si="4"/>
        <v>0</v>
      </c>
      <c r="H26" s="108"/>
      <c r="I26" s="108"/>
      <c r="J26" s="108"/>
      <c r="K26" s="108"/>
      <c r="L26" s="49"/>
      <c r="M26" s="49"/>
      <c r="N26" s="49"/>
      <c r="O26" s="49"/>
      <c r="P26" s="49"/>
      <c r="Q26" s="49"/>
      <c r="R26" s="49"/>
      <c r="S26" s="49"/>
    </row>
    <row r="27" spans="1:19" ht="12.75" customHeight="1">
      <c r="A27" s="108"/>
      <c r="B27" s="37" t="s">
        <v>50</v>
      </c>
      <c r="C27" s="59" t="s">
        <v>30</v>
      </c>
      <c r="D27" s="58">
        <f>IF(C27="无",0,IF(C27="轻微",5,IF(C27="明显",15)))</f>
        <v>0</v>
      </c>
      <c r="E27" s="39">
        <f t="shared" si="1"/>
        <v>0</v>
      </c>
      <c r="F27" s="39">
        <f t="shared" si="2"/>
        <v>0</v>
      </c>
      <c r="G27" s="39">
        <f t="shared" si="4"/>
        <v>0</v>
      </c>
      <c r="H27" s="108"/>
      <c r="I27" s="108"/>
      <c r="J27" s="108"/>
      <c r="K27" s="108"/>
      <c r="L27" s="49"/>
      <c r="M27" s="49"/>
      <c r="N27" s="49"/>
      <c r="O27" s="49"/>
      <c r="P27" s="49"/>
      <c r="Q27" s="49"/>
      <c r="R27" s="49"/>
      <c r="S27" s="49"/>
    </row>
    <row r="28" spans="1:19" ht="12.75" customHeight="1">
      <c r="A28" s="108"/>
      <c r="B28" s="37" t="s">
        <v>51</v>
      </c>
      <c r="C28" s="61" t="s">
        <v>30</v>
      </c>
      <c r="D28" s="58">
        <f>IF(C28="无",0,IF(C28="轻微",15,IF(C28="严重",40)))</f>
        <v>0</v>
      </c>
      <c r="E28" s="39">
        <f t="shared" si="1"/>
        <v>0</v>
      </c>
      <c r="F28" s="39">
        <f t="shared" si="2"/>
        <v>0</v>
      </c>
      <c r="G28" s="39">
        <f t="shared" si="4"/>
        <v>0</v>
      </c>
      <c r="H28" s="108"/>
      <c r="I28" s="108"/>
      <c r="J28" s="108"/>
      <c r="K28" s="108"/>
      <c r="L28" s="49"/>
      <c r="M28" s="49"/>
      <c r="N28" s="49"/>
      <c r="O28" s="49"/>
      <c r="P28" s="49"/>
      <c r="Q28" s="49"/>
      <c r="R28" s="49"/>
      <c r="S28" s="49"/>
    </row>
    <row r="29" spans="1:19" ht="12.75" customHeight="1">
      <c r="A29" s="108"/>
      <c r="B29" s="37" t="s">
        <v>52</v>
      </c>
      <c r="C29" s="59" t="s">
        <v>53</v>
      </c>
      <c r="D29" s="58">
        <f>IF(C29="正常",0,IF(C29="略有变化",15,IF(C29="卡死",65)))</f>
        <v>0</v>
      </c>
      <c r="E29" s="39">
        <f t="shared" si="1"/>
        <v>0</v>
      </c>
      <c r="F29" s="39">
        <f t="shared" si="2"/>
        <v>0</v>
      </c>
      <c r="G29" s="39">
        <f t="shared" si="4"/>
        <v>0</v>
      </c>
      <c r="H29" s="108"/>
      <c r="I29" s="108"/>
      <c r="J29" s="108"/>
      <c r="K29" s="108"/>
      <c r="L29" s="49"/>
      <c r="M29" s="49"/>
      <c r="N29" s="49"/>
      <c r="O29" s="49"/>
      <c r="P29" s="49"/>
      <c r="Q29" s="49"/>
      <c r="R29" s="49"/>
      <c r="S29" s="49"/>
    </row>
    <row r="30" spans="1:19" ht="12.75" customHeight="1">
      <c r="A30" s="109"/>
      <c r="B30" s="37" t="s">
        <v>54</v>
      </c>
      <c r="C30" s="61" t="s">
        <v>30</v>
      </c>
      <c r="D30" s="58">
        <f>IF(C30="无",0,IF(C30="轻微",10,IF(C30="严重",30)))</f>
        <v>0</v>
      </c>
      <c r="E30" s="39">
        <f t="shared" si="1"/>
        <v>0</v>
      </c>
      <c r="F30" s="39">
        <f t="shared" si="2"/>
        <v>0</v>
      </c>
      <c r="G30" s="39">
        <f t="shared" si="4"/>
        <v>0</v>
      </c>
      <c r="H30" s="109"/>
      <c r="I30" s="109"/>
      <c r="J30" s="109"/>
      <c r="K30" s="109"/>
      <c r="L30" s="49"/>
      <c r="M30" s="49"/>
      <c r="N30" s="49"/>
      <c r="O30" s="49"/>
      <c r="P30" s="49"/>
      <c r="Q30" s="49"/>
      <c r="R30" s="49"/>
      <c r="S30" s="49"/>
    </row>
    <row r="31" spans="1:19" ht="12.75" customHeight="1">
      <c r="A31" s="128" t="s">
        <v>13</v>
      </c>
      <c r="B31" s="37" t="s">
        <v>55</v>
      </c>
      <c r="C31" s="59" t="s">
        <v>30</v>
      </c>
      <c r="D31" s="58">
        <f>IF(C31="无",0,IF(C31="&lt;5%",10,IF(C31="5%~20%",40,IF(C31="&gt;20%",80))))</f>
        <v>0</v>
      </c>
      <c r="E31" s="39">
        <f t="shared" si="1"/>
        <v>0</v>
      </c>
      <c r="F31" s="39">
        <f t="shared" si="2"/>
        <v>0</v>
      </c>
      <c r="G31" s="39">
        <f>IF(SUM(D$31:D$34)=0,0,D31/(SUM(D$31:D$34)))</f>
        <v>0</v>
      </c>
      <c r="H31" s="107">
        <f>MAX(D31:D34)</f>
        <v>0</v>
      </c>
      <c r="I31" s="110">
        <f>SUM(F31:F34)</f>
        <v>0</v>
      </c>
      <c r="J31" s="107">
        <f>IF(I31&lt;H31,H31,IF(I31&gt;=100,"100",IF(I31&gt;=H31,I31)))</f>
        <v>0</v>
      </c>
      <c r="K31" s="111">
        <f>100-J31</f>
        <v>100</v>
      </c>
      <c r="L31" s="49"/>
      <c r="M31" s="49"/>
      <c r="N31" s="49"/>
      <c r="O31" s="49"/>
      <c r="P31" s="49"/>
      <c r="Q31" s="49"/>
      <c r="R31" s="49"/>
      <c r="S31" s="49"/>
    </row>
    <row r="32" spans="1:19" ht="12.75" customHeight="1">
      <c r="A32" s="122"/>
      <c r="B32" s="37" t="s">
        <v>56</v>
      </c>
      <c r="C32" s="59" t="s">
        <v>30</v>
      </c>
      <c r="D32" s="58">
        <f>IF(C40="无",0,IF(C40="&lt;5%",10,IF(C40="5%~10%",20,IF(C40="&gt;10%",40))))</f>
        <v>0</v>
      </c>
      <c r="E32" s="39">
        <f t="shared" si="1"/>
        <v>0</v>
      </c>
      <c r="F32" s="39">
        <f t="shared" si="2"/>
        <v>0</v>
      </c>
      <c r="G32" s="39">
        <f>IF(SUM(D$31:D$34)=0,0,D32/(SUM(D$31:D$34)))</f>
        <v>0</v>
      </c>
      <c r="H32" s="108"/>
      <c r="I32" s="108"/>
      <c r="J32" s="108"/>
      <c r="K32" s="108"/>
      <c r="L32" s="49"/>
      <c r="M32" s="49"/>
      <c r="N32" s="49"/>
      <c r="O32" s="49"/>
      <c r="P32" s="49"/>
      <c r="Q32" s="49"/>
      <c r="R32" s="49"/>
      <c r="S32" s="49"/>
    </row>
    <row r="33" spans="1:94" ht="12.75" customHeight="1">
      <c r="A33" s="122"/>
      <c r="B33" s="37" t="s">
        <v>57</v>
      </c>
      <c r="C33" s="59" t="s">
        <v>30</v>
      </c>
      <c r="D33" s="58">
        <f>IF(C33="无",0,IF(C33="个别处",45,IF(C33="多处",65)))</f>
        <v>0</v>
      </c>
      <c r="E33" s="39">
        <f t="shared" si="1"/>
        <v>0</v>
      </c>
      <c r="F33" s="39">
        <f t="shared" si="2"/>
        <v>0</v>
      </c>
      <c r="G33" s="39">
        <f>IF(SUM(D$31:D$34)=0,0,D33/(SUM(D$31:D$34)))</f>
        <v>0</v>
      </c>
      <c r="H33" s="108"/>
      <c r="I33" s="108"/>
      <c r="J33" s="108"/>
      <c r="K33" s="108"/>
      <c r="L33" s="49"/>
      <c r="M33" s="49"/>
      <c r="N33" s="49"/>
      <c r="O33" s="49"/>
      <c r="P33" s="49"/>
      <c r="Q33" s="49"/>
      <c r="R33" s="49"/>
      <c r="S33" s="49"/>
    </row>
    <row r="34" spans="1:94" ht="12.75" customHeight="1">
      <c r="A34" s="122"/>
      <c r="B34" s="62" t="s">
        <v>58</v>
      </c>
      <c r="C34" s="63" t="s">
        <v>59</v>
      </c>
      <c r="D34" s="64">
        <f>IF(C34="完好",0,IF(C34="渗水",30,IF(C34="老化",65)))</f>
        <v>0</v>
      </c>
      <c r="E34" s="39">
        <f t="shared" si="1"/>
        <v>0</v>
      </c>
      <c r="F34" s="39">
        <f t="shared" si="2"/>
        <v>0</v>
      </c>
      <c r="G34" s="39">
        <f>IF(SUM(D$31:D$34)=0,0,D34/(SUM(D$31:D$34)))</f>
        <v>0</v>
      </c>
      <c r="H34" s="109"/>
      <c r="I34" s="109"/>
      <c r="J34" s="109"/>
      <c r="K34" s="109"/>
      <c r="L34" s="49"/>
      <c r="M34" s="49"/>
      <c r="N34" s="49"/>
      <c r="O34" s="49"/>
      <c r="P34" s="49"/>
      <c r="Q34" s="49"/>
      <c r="R34" s="49"/>
      <c r="S34" s="49"/>
    </row>
    <row r="35" spans="1:94" ht="12.75" customHeight="1">
      <c r="A35" s="112" t="s">
        <v>11</v>
      </c>
      <c r="B35" s="37" t="s">
        <v>60</v>
      </c>
      <c r="C35" s="59" t="s">
        <v>61</v>
      </c>
      <c r="D35" s="58">
        <f>IF(C35="无",0,IF(C35="&lt;5%",10,IF(C35="5%~20%",20,IF(C35="&gt;20%",40))))</f>
        <v>40</v>
      </c>
      <c r="E35" s="39">
        <f t="shared" si="1"/>
        <v>1</v>
      </c>
      <c r="F35" s="39">
        <f t="shared" si="2"/>
        <v>40</v>
      </c>
      <c r="G35" s="39">
        <f>IF(SUM(D$35:D$37)=0,0,D35/(SUM(D$35:D$37)))</f>
        <v>1</v>
      </c>
      <c r="H35" s="107">
        <f>MAX(D35:D37)</f>
        <v>40</v>
      </c>
      <c r="I35" s="110">
        <f>SUM(F35:F37)</f>
        <v>40</v>
      </c>
      <c r="J35" s="107">
        <f>IF(I35&lt;H35,H35,IF(I35&gt;=100,"100",IF(I35&gt;=H35,I35)))</f>
        <v>40</v>
      </c>
      <c r="K35" s="111">
        <f>100-J35</f>
        <v>60</v>
      </c>
      <c r="L35" s="49"/>
      <c r="M35" s="49"/>
      <c r="N35" s="49"/>
      <c r="O35" s="49"/>
      <c r="P35" s="49"/>
      <c r="Q35" s="49"/>
      <c r="R35" s="49"/>
      <c r="S35" s="49"/>
    </row>
    <row r="36" spans="1:94" ht="12.75" customHeight="1">
      <c r="A36" s="108"/>
      <c r="B36" s="37" t="s">
        <v>62</v>
      </c>
      <c r="C36" s="61" t="s">
        <v>30</v>
      </c>
      <c r="D36" s="58">
        <f>IF(C36="无",0,IF(C36="轻微",10,IF(C36="中等",30,IF(C36="严重(*)",80))))</f>
        <v>0</v>
      </c>
      <c r="E36" s="39">
        <f t="shared" si="1"/>
        <v>0</v>
      </c>
      <c r="F36" s="39">
        <f t="shared" si="2"/>
        <v>0</v>
      </c>
      <c r="G36" s="39">
        <f>IF(SUM(D$35:D$37)=0,0,D36/(SUM(D$35:D$37)))</f>
        <v>0</v>
      </c>
      <c r="H36" s="108"/>
      <c r="I36" s="108"/>
      <c r="J36" s="108"/>
      <c r="K36" s="108"/>
      <c r="L36" s="49"/>
      <c r="M36" s="49"/>
      <c r="N36" s="49"/>
      <c r="O36" s="49"/>
      <c r="P36" s="49"/>
      <c r="Q36" s="49"/>
      <c r="R36" s="49"/>
      <c r="S36" s="49"/>
    </row>
    <row r="37" spans="1:94" ht="12.75" customHeight="1">
      <c r="A37" s="109"/>
      <c r="B37" s="37" t="s">
        <v>63</v>
      </c>
      <c r="C37" s="61" t="s">
        <v>30</v>
      </c>
      <c r="D37" s="58">
        <f>IF(C37="无",0,IF(C37="轻微",10,IF(C37="中等",30,IF(C37="严重(*)",80))))</f>
        <v>0</v>
      </c>
      <c r="E37" s="39">
        <f t="shared" si="1"/>
        <v>0</v>
      </c>
      <c r="F37" s="39">
        <f t="shared" si="2"/>
        <v>0</v>
      </c>
      <c r="G37" s="39">
        <f>IF(SUM(D$35:D$37)=0,0,D37/(SUM(D$35:D$37)))</f>
        <v>0</v>
      </c>
      <c r="H37" s="109"/>
      <c r="I37" s="109"/>
      <c r="J37" s="109"/>
      <c r="K37" s="109"/>
      <c r="L37" s="49"/>
      <c r="M37" s="49"/>
      <c r="N37" s="49"/>
      <c r="O37" s="49"/>
      <c r="P37" s="49"/>
      <c r="Q37" s="49"/>
      <c r="R37" s="49"/>
      <c r="S37" s="49"/>
    </row>
    <row r="38" spans="1:94" ht="12.75" customHeight="1">
      <c r="A38" s="112" t="s">
        <v>64</v>
      </c>
      <c r="B38" s="37" t="s">
        <v>65</v>
      </c>
      <c r="C38" s="59" t="s">
        <v>30</v>
      </c>
      <c r="D38" s="58">
        <f>IF(C38="无",0,IF(C38="&lt;10%",15,IF(C38="10%~20%",30,IF(C38="&gt;20%",50))))</f>
        <v>0</v>
      </c>
      <c r="E38" s="39">
        <f t="shared" si="1"/>
        <v>0</v>
      </c>
      <c r="F38" s="39">
        <f t="shared" si="2"/>
        <v>0</v>
      </c>
      <c r="G38" s="39">
        <f>IF(SUM(D$38:D$40)=0,0,D38/(SUM(D$38:D$40)))</f>
        <v>0</v>
      </c>
      <c r="H38" s="107">
        <f>MAX(D38:D40)</f>
        <v>0</v>
      </c>
      <c r="I38" s="110">
        <f>SUM(F38:F40)</f>
        <v>0</v>
      </c>
      <c r="J38" s="107">
        <f>IF(I38&lt;H38,H38,IF(I38&gt;=100,"100",IF(I38&gt;=H38,I38)))</f>
        <v>0</v>
      </c>
      <c r="K38" s="111">
        <f>100-J38</f>
        <v>100</v>
      </c>
      <c r="L38" s="49"/>
      <c r="M38" s="49"/>
      <c r="N38" s="49"/>
      <c r="O38" s="49"/>
      <c r="P38" s="49"/>
      <c r="Q38" s="49"/>
      <c r="R38" s="49"/>
      <c r="S38" s="49"/>
    </row>
    <row r="39" spans="1:94" ht="12.75" customHeight="1">
      <c r="A39" s="108"/>
      <c r="B39" s="37" t="s">
        <v>66</v>
      </c>
      <c r="C39" s="59" t="s">
        <v>30</v>
      </c>
      <c r="D39" s="58">
        <f>IF(C39="无",0,IF(C39="&lt;5%",15,IF(C39="5%~10%",25,IF(C39="&gt;10%",40))))</f>
        <v>0</v>
      </c>
      <c r="E39" s="39">
        <f t="shared" si="1"/>
        <v>0</v>
      </c>
      <c r="F39" s="39">
        <f t="shared" si="2"/>
        <v>0</v>
      </c>
      <c r="G39" s="39">
        <f>IF(SUM(D$38:D$40)=0,0,D39/(SUM(D$38:D$40)))</f>
        <v>0</v>
      </c>
      <c r="H39" s="108"/>
      <c r="I39" s="108"/>
      <c r="J39" s="108"/>
      <c r="K39" s="108"/>
      <c r="L39" s="49"/>
      <c r="M39" s="49"/>
      <c r="N39" s="49"/>
      <c r="O39" s="49"/>
      <c r="P39" s="49"/>
      <c r="Q39" s="49"/>
      <c r="R39" s="49"/>
      <c r="S39" s="49"/>
    </row>
    <row r="40" spans="1:94" ht="12.75" customHeight="1">
      <c r="A40" s="109"/>
      <c r="B40" s="37" t="s">
        <v>67</v>
      </c>
      <c r="C40" s="59" t="s">
        <v>30</v>
      </c>
      <c r="D40" s="58">
        <f>IF(C40="无",0,IF(C40="&lt;5%",15,IF(C40="5%~10%",30,IF(C40="&gt;10%",50))))</f>
        <v>0</v>
      </c>
      <c r="E40" s="39">
        <f t="shared" si="1"/>
        <v>0</v>
      </c>
      <c r="F40" s="39">
        <f t="shared" si="2"/>
        <v>0</v>
      </c>
      <c r="G40" s="39">
        <f>IF(SUM(D$38:D$40)=0,0,D40/(SUM(D$38:D$40)))</f>
        <v>0</v>
      </c>
      <c r="H40" s="109"/>
      <c r="I40" s="109"/>
      <c r="J40" s="109"/>
      <c r="K40" s="109"/>
      <c r="L40" s="49"/>
      <c r="M40" s="49"/>
      <c r="N40" s="49"/>
      <c r="O40" s="49"/>
      <c r="P40" s="49"/>
      <c r="Q40" s="49"/>
      <c r="R40" s="49"/>
      <c r="S40" s="49"/>
    </row>
    <row r="41" spans="1:94" s="49" customFormat="1" ht="13" customHeight="1"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  <c r="BQ41" s="51"/>
      <c r="BR41" s="51"/>
      <c r="BS41" s="51"/>
      <c r="BT41" s="51"/>
      <c r="BU41" s="51"/>
      <c r="BV41" s="51"/>
      <c r="BW41" s="51"/>
      <c r="BX41" s="51"/>
      <c r="BY41" s="51"/>
      <c r="BZ41" s="51"/>
      <c r="CA41" s="51"/>
      <c r="CB41" s="51"/>
      <c r="CC41" s="51"/>
      <c r="CD41" s="51"/>
      <c r="CE41" s="51"/>
      <c r="CF41" s="51"/>
      <c r="CG41" s="51"/>
      <c r="CH41" s="51"/>
      <c r="CI41" s="51"/>
      <c r="CJ41" s="51"/>
      <c r="CK41" s="51"/>
      <c r="CL41" s="51"/>
      <c r="CM41" s="51"/>
      <c r="CN41" s="51"/>
      <c r="CO41" s="51"/>
      <c r="CP41" s="51"/>
    </row>
    <row r="42" spans="1:94" s="49" customFormat="1" ht="13" customHeight="1">
      <c r="T42" s="51"/>
      <c r="U42" s="51"/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1"/>
      <c r="AQ42" s="51"/>
      <c r="AR42" s="51"/>
      <c r="AS42" s="51"/>
      <c r="AT42" s="51"/>
      <c r="AU42" s="51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  <c r="BQ42" s="51"/>
      <c r="BR42" s="51"/>
      <c r="BS42" s="51"/>
      <c r="BT42" s="51"/>
      <c r="BU42" s="51"/>
      <c r="BV42" s="51"/>
      <c r="BW42" s="51"/>
      <c r="BX42" s="51"/>
      <c r="BY42" s="51"/>
      <c r="BZ42" s="51"/>
      <c r="CA42" s="51"/>
      <c r="CB42" s="51"/>
      <c r="CC42" s="51"/>
      <c r="CD42" s="51"/>
      <c r="CE42" s="51"/>
      <c r="CF42" s="51"/>
      <c r="CG42" s="51"/>
      <c r="CH42" s="51"/>
      <c r="CI42" s="51"/>
      <c r="CJ42" s="51"/>
      <c r="CK42" s="51"/>
      <c r="CL42" s="51"/>
      <c r="CM42" s="51"/>
      <c r="CN42" s="51"/>
      <c r="CO42" s="51"/>
      <c r="CP42" s="51"/>
    </row>
    <row r="43" spans="1:94" s="49" customFormat="1" ht="13" customHeight="1"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  <c r="BQ43" s="51"/>
      <c r="BR43" s="51"/>
      <c r="BS43" s="51"/>
      <c r="BT43" s="51"/>
      <c r="BU43" s="51"/>
      <c r="BV43" s="51"/>
      <c r="BW43" s="51"/>
      <c r="BX43" s="51"/>
      <c r="BY43" s="51"/>
      <c r="BZ43" s="51"/>
      <c r="CA43" s="51"/>
      <c r="CB43" s="51"/>
      <c r="CC43" s="51"/>
      <c r="CD43" s="51"/>
      <c r="CE43" s="51"/>
      <c r="CF43" s="51"/>
      <c r="CG43" s="51"/>
      <c r="CH43" s="51"/>
      <c r="CI43" s="51"/>
      <c r="CJ43" s="51"/>
      <c r="CK43" s="51"/>
      <c r="CL43" s="51"/>
      <c r="CM43" s="51"/>
      <c r="CN43" s="51"/>
      <c r="CO43" s="51"/>
      <c r="CP43" s="51"/>
    </row>
    <row r="44" spans="1:94" s="49" customFormat="1" ht="13" customHeight="1"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  <c r="BQ44" s="51"/>
      <c r="BR44" s="51"/>
      <c r="BS44" s="51"/>
      <c r="BT44" s="51"/>
      <c r="BU44" s="51"/>
      <c r="BV44" s="51"/>
      <c r="BW44" s="51"/>
      <c r="BX44" s="51"/>
      <c r="BY44" s="51"/>
      <c r="BZ44" s="51"/>
      <c r="CA44" s="51"/>
      <c r="CB44" s="51"/>
      <c r="CC44" s="51"/>
      <c r="CD44" s="51"/>
      <c r="CE44" s="51"/>
      <c r="CF44" s="51"/>
      <c r="CG44" s="51"/>
      <c r="CH44" s="51"/>
      <c r="CI44" s="51"/>
      <c r="CJ44" s="51"/>
      <c r="CK44" s="51"/>
      <c r="CL44" s="51"/>
      <c r="CM44" s="51"/>
      <c r="CN44" s="51"/>
      <c r="CO44" s="51"/>
      <c r="CP44" s="51"/>
    </row>
    <row r="45" spans="1:94" s="49" customFormat="1" ht="13" customHeight="1"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  <c r="BQ45" s="51"/>
      <c r="BR45" s="51"/>
      <c r="BS45" s="51"/>
      <c r="BT45" s="51"/>
      <c r="BU45" s="51"/>
      <c r="BV45" s="51"/>
      <c r="BW45" s="51"/>
      <c r="BX45" s="51"/>
      <c r="BY45" s="51"/>
      <c r="BZ45" s="51"/>
      <c r="CA45" s="51"/>
      <c r="CB45" s="51"/>
      <c r="CC45" s="51"/>
      <c r="CD45" s="51"/>
      <c r="CE45" s="51"/>
      <c r="CF45" s="51"/>
      <c r="CG45" s="51"/>
      <c r="CH45" s="51"/>
      <c r="CI45" s="51"/>
      <c r="CJ45" s="51"/>
      <c r="CK45" s="51"/>
      <c r="CL45" s="51"/>
      <c r="CM45" s="51"/>
      <c r="CN45" s="51"/>
      <c r="CO45" s="51"/>
      <c r="CP45" s="51"/>
    </row>
    <row r="46" spans="1:94" s="49" customFormat="1" ht="13" customHeight="1"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  <c r="BQ46" s="51"/>
      <c r="BR46" s="51"/>
      <c r="BS46" s="51"/>
      <c r="BT46" s="51"/>
      <c r="BU46" s="51"/>
      <c r="BV46" s="51"/>
      <c r="BW46" s="51"/>
      <c r="BX46" s="51"/>
      <c r="BY46" s="51"/>
      <c r="BZ46" s="51"/>
      <c r="CA46" s="51"/>
      <c r="CB46" s="51"/>
      <c r="CC46" s="51"/>
      <c r="CD46" s="51"/>
      <c r="CE46" s="51"/>
      <c r="CF46" s="51"/>
      <c r="CG46" s="51"/>
      <c r="CH46" s="51"/>
      <c r="CI46" s="51"/>
      <c r="CJ46" s="51"/>
      <c r="CK46" s="51"/>
      <c r="CL46" s="51"/>
      <c r="CM46" s="51"/>
      <c r="CN46" s="51"/>
      <c r="CO46" s="51"/>
      <c r="CP46" s="51"/>
    </row>
    <row r="47" spans="1:94" s="49" customFormat="1" ht="13" customHeight="1"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  <c r="BQ47" s="51"/>
      <c r="BR47" s="51"/>
      <c r="BS47" s="51"/>
      <c r="BT47" s="51"/>
      <c r="BU47" s="51"/>
      <c r="BV47" s="51"/>
      <c r="BW47" s="51"/>
      <c r="BX47" s="51"/>
      <c r="BY47" s="51"/>
      <c r="BZ47" s="51"/>
      <c r="CA47" s="51"/>
      <c r="CB47" s="51"/>
      <c r="CC47" s="51"/>
      <c r="CD47" s="51"/>
      <c r="CE47" s="51"/>
      <c r="CF47" s="51"/>
      <c r="CG47" s="51"/>
      <c r="CH47" s="51"/>
      <c r="CI47" s="51"/>
      <c r="CJ47" s="51"/>
      <c r="CK47" s="51"/>
      <c r="CL47" s="51"/>
      <c r="CM47" s="51"/>
      <c r="CN47" s="51"/>
      <c r="CO47" s="51"/>
      <c r="CP47" s="51"/>
    </row>
    <row r="48" spans="1:94" s="49" customFormat="1" ht="13" customHeight="1"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  <c r="BQ48" s="51"/>
      <c r="BR48" s="51"/>
      <c r="BS48" s="51"/>
      <c r="BT48" s="51"/>
      <c r="BU48" s="51"/>
      <c r="BV48" s="51"/>
      <c r="BW48" s="51"/>
      <c r="BX48" s="51"/>
      <c r="BY48" s="51"/>
      <c r="BZ48" s="51"/>
      <c r="CA48" s="51"/>
      <c r="CB48" s="51"/>
      <c r="CC48" s="51"/>
      <c r="CD48" s="51"/>
      <c r="CE48" s="51"/>
      <c r="CF48" s="51"/>
      <c r="CG48" s="51"/>
      <c r="CH48" s="51"/>
      <c r="CI48" s="51"/>
      <c r="CJ48" s="51"/>
      <c r="CK48" s="51"/>
      <c r="CL48" s="51"/>
      <c r="CM48" s="51"/>
      <c r="CN48" s="51"/>
      <c r="CO48" s="51"/>
      <c r="CP48" s="51"/>
    </row>
    <row r="49" spans="20:94" s="49" customFormat="1" ht="13" customHeight="1">
      <c r="T49" s="51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51"/>
      <c r="AQ49" s="51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  <c r="BQ49" s="51"/>
      <c r="BR49" s="51"/>
      <c r="BS49" s="51"/>
      <c r="BT49" s="51"/>
      <c r="BU49" s="51"/>
      <c r="BV49" s="51"/>
      <c r="BW49" s="51"/>
      <c r="BX49" s="51"/>
      <c r="BY49" s="51"/>
      <c r="BZ49" s="51"/>
      <c r="CA49" s="51"/>
      <c r="CB49" s="51"/>
      <c r="CC49" s="51"/>
      <c r="CD49" s="51"/>
      <c r="CE49" s="51"/>
      <c r="CF49" s="51"/>
      <c r="CG49" s="51"/>
      <c r="CH49" s="51"/>
      <c r="CI49" s="51"/>
      <c r="CJ49" s="51"/>
      <c r="CK49" s="51"/>
      <c r="CL49" s="51"/>
      <c r="CM49" s="51"/>
      <c r="CN49" s="51"/>
      <c r="CO49" s="51"/>
      <c r="CP49" s="51"/>
    </row>
    <row r="50" spans="20:94" s="49" customFormat="1" ht="13" customHeight="1"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  <c r="BQ50" s="51"/>
      <c r="BR50" s="51"/>
      <c r="BS50" s="51"/>
      <c r="BT50" s="51"/>
      <c r="BU50" s="51"/>
      <c r="BV50" s="51"/>
      <c r="BW50" s="51"/>
      <c r="BX50" s="51"/>
      <c r="BY50" s="51"/>
      <c r="BZ50" s="51"/>
      <c r="CA50" s="51"/>
      <c r="CB50" s="51"/>
      <c r="CC50" s="51"/>
      <c r="CD50" s="51"/>
      <c r="CE50" s="51"/>
      <c r="CF50" s="51"/>
      <c r="CG50" s="51"/>
      <c r="CH50" s="51"/>
      <c r="CI50" s="51"/>
      <c r="CJ50" s="51"/>
      <c r="CK50" s="51"/>
      <c r="CL50" s="51"/>
      <c r="CM50" s="51"/>
      <c r="CN50" s="51"/>
      <c r="CO50" s="51"/>
      <c r="CP50" s="51"/>
    </row>
    <row r="51" spans="20:94" s="49" customFormat="1" ht="13" customHeight="1"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  <c r="BQ51" s="51"/>
      <c r="BR51" s="51"/>
      <c r="BS51" s="51"/>
      <c r="BT51" s="51"/>
      <c r="BU51" s="51"/>
      <c r="BV51" s="51"/>
      <c r="BW51" s="51"/>
      <c r="BX51" s="51"/>
      <c r="BY51" s="51"/>
      <c r="BZ51" s="51"/>
      <c r="CA51" s="51"/>
      <c r="CB51" s="51"/>
      <c r="CC51" s="51"/>
      <c r="CD51" s="51"/>
      <c r="CE51" s="51"/>
      <c r="CF51" s="51"/>
      <c r="CG51" s="51"/>
      <c r="CH51" s="51"/>
      <c r="CI51" s="51"/>
      <c r="CJ51" s="51"/>
      <c r="CK51" s="51"/>
      <c r="CL51" s="51"/>
      <c r="CM51" s="51"/>
      <c r="CN51" s="51"/>
      <c r="CO51" s="51"/>
      <c r="CP51" s="51"/>
    </row>
    <row r="52" spans="20:94" s="49" customFormat="1" ht="13" customHeight="1"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  <c r="BQ52" s="51"/>
      <c r="BR52" s="51"/>
      <c r="BS52" s="51"/>
      <c r="BT52" s="51"/>
      <c r="BU52" s="51"/>
      <c r="BV52" s="51"/>
      <c r="BW52" s="51"/>
      <c r="BX52" s="51"/>
      <c r="BY52" s="51"/>
      <c r="BZ52" s="51"/>
      <c r="CA52" s="51"/>
      <c r="CB52" s="51"/>
      <c r="CC52" s="51"/>
      <c r="CD52" s="51"/>
      <c r="CE52" s="51"/>
      <c r="CF52" s="51"/>
      <c r="CG52" s="51"/>
      <c r="CH52" s="51"/>
      <c r="CI52" s="51"/>
      <c r="CJ52" s="51"/>
      <c r="CK52" s="51"/>
      <c r="CL52" s="51"/>
      <c r="CM52" s="51"/>
      <c r="CN52" s="51"/>
      <c r="CO52" s="51"/>
      <c r="CP52" s="51"/>
    </row>
    <row r="53" spans="20:94" s="49" customFormat="1" ht="13" customHeight="1"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</row>
    <row r="54" spans="20:94" s="49" customFormat="1" ht="13" customHeight="1"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  <c r="BQ54" s="51"/>
      <c r="BR54" s="51"/>
      <c r="BS54" s="51"/>
      <c r="BT54" s="51"/>
      <c r="BU54" s="51"/>
      <c r="BV54" s="51"/>
      <c r="BW54" s="51"/>
      <c r="BX54" s="51"/>
      <c r="BY54" s="51"/>
      <c r="BZ54" s="51"/>
      <c r="CA54" s="51"/>
      <c r="CB54" s="51"/>
      <c r="CC54" s="51"/>
      <c r="CD54" s="51"/>
      <c r="CE54" s="51"/>
      <c r="CF54" s="51"/>
      <c r="CG54" s="51"/>
      <c r="CH54" s="51"/>
      <c r="CI54" s="51"/>
      <c r="CJ54" s="51"/>
      <c r="CK54" s="51"/>
      <c r="CL54" s="51"/>
      <c r="CM54" s="51"/>
      <c r="CN54" s="51"/>
      <c r="CO54" s="51"/>
      <c r="CP54" s="51"/>
    </row>
    <row r="55" spans="20:94" s="49" customFormat="1" ht="13" customHeight="1"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  <c r="BQ55" s="51"/>
      <c r="BR55" s="51"/>
      <c r="BS55" s="51"/>
      <c r="BT55" s="51"/>
      <c r="BU55" s="51"/>
      <c r="BV55" s="51"/>
      <c r="BW55" s="51"/>
      <c r="BX55" s="51"/>
      <c r="BY55" s="51"/>
      <c r="BZ55" s="51"/>
      <c r="CA55" s="51"/>
      <c r="CB55" s="51"/>
      <c r="CC55" s="51"/>
      <c r="CD55" s="51"/>
      <c r="CE55" s="51"/>
      <c r="CF55" s="51"/>
      <c r="CG55" s="51"/>
      <c r="CH55" s="51"/>
      <c r="CI55" s="51"/>
      <c r="CJ55" s="51"/>
      <c r="CK55" s="51"/>
      <c r="CL55" s="51"/>
      <c r="CM55" s="51"/>
      <c r="CN55" s="51"/>
      <c r="CO55" s="51"/>
      <c r="CP55" s="51"/>
    </row>
    <row r="56" spans="20:94" s="49" customFormat="1" ht="13" customHeight="1">
      <c r="T56" s="51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  <c r="BQ56" s="51"/>
      <c r="BR56" s="51"/>
      <c r="BS56" s="51"/>
      <c r="BT56" s="51"/>
      <c r="BU56" s="51"/>
      <c r="BV56" s="51"/>
      <c r="BW56" s="51"/>
      <c r="BX56" s="51"/>
      <c r="BY56" s="51"/>
      <c r="BZ56" s="51"/>
      <c r="CA56" s="51"/>
      <c r="CB56" s="51"/>
      <c r="CC56" s="51"/>
      <c r="CD56" s="51"/>
      <c r="CE56" s="51"/>
      <c r="CF56" s="51"/>
      <c r="CG56" s="51"/>
      <c r="CH56" s="51"/>
      <c r="CI56" s="51"/>
      <c r="CJ56" s="51"/>
      <c r="CK56" s="51"/>
      <c r="CL56" s="51"/>
      <c r="CM56" s="51"/>
      <c r="CN56" s="51"/>
      <c r="CO56" s="51"/>
      <c r="CP56" s="51"/>
    </row>
    <row r="57" spans="20:94" s="49" customFormat="1" ht="13" customHeight="1"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  <c r="BQ57" s="51"/>
      <c r="BR57" s="51"/>
      <c r="BS57" s="51"/>
      <c r="BT57" s="51"/>
      <c r="BU57" s="51"/>
      <c r="BV57" s="51"/>
      <c r="BW57" s="51"/>
      <c r="BX57" s="51"/>
      <c r="BY57" s="51"/>
      <c r="BZ57" s="51"/>
      <c r="CA57" s="51"/>
      <c r="CB57" s="51"/>
      <c r="CC57" s="51"/>
      <c r="CD57" s="51"/>
      <c r="CE57" s="51"/>
      <c r="CF57" s="51"/>
      <c r="CG57" s="51"/>
      <c r="CH57" s="51"/>
      <c r="CI57" s="51"/>
      <c r="CJ57" s="51"/>
      <c r="CK57" s="51"/>
      <c r="CL57" s="51"/>
      <c r="CM57" s="51"/>
      <c r="CN57" s="51"/>
      <c r="CO57" s="51"/>
      <c r="CP57" s="51"/>
    </row>
    <row r="58" spans="20:94" s="49" customFormat="1" ht="13" customHeight="1"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  <c r="BQ58" s="51"/>
      <c r="BR58" s="51"/>
      <c r="BS58" s="51"/>
      <c r="BT58" s="51"/>
      <c r="BU58" s="51"/>
      <c r="BV58" s="51"/>
      <c r="BW58" s="51"/>
      <c r="BX58" s="51"/>
      <c r="BY58" s="51"/>
      <c r="BZ58" s="51"/>
      <c r="CA58" s="51"/>
      <c r="CB58" s="51"/>
      <c r="CC58" s="51"/>
      <c r="CD58" s="51"/>
      <c r="CE58" s="51"/>
      <c r="CF58" s="51"/>
      <c r="CG58" s="51"/>
      <c r="CH58" s="51"/>
      <c r="CI58" s="51"/>
      <c r="CJ58" s="51"/>
      <c r="CK58" s="51"/>
      <c r="CL58" s="51"/>
      <c r="CM58" s="51"/>
      <c r="CN58" s="51"/>
      <c r="CO58" s="51"/>
      <c r="CP58" s="51"/>
    </row>
    <row r="59" spans="20:94" s="49" customFormat="1" ht="13" customHeight="1"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51"/>
      <c r="AQ59" s="51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  <c r="BQ59" s="51"/>
      <c r="BR59" s="51"/>
      <c r="BS59" s="51"/>
      <c r="BT59" s="51"/>
      <c r="BU59" s="51"/>
      <c r="BV59" s="51"/>
      <c r="BW59" s="51"/>
      <c r="BX59" s="51"/>
      <c r="BY59" s="51"/>
      <c r="BZ59" s="51"/>
      <c r="CA59" s="51"/>
      <c r="CB59" s="51"/>
      <c r="CC59" s="51"/>
      <c r="CD59" s="51"/>
      <c r="CE59" s="51"/>
      <c r="CF59" s="51"/>
      <c r="CG59" s="51"/>
      <c r="CH59" s="51"/>
      <c r="CI59" s="51"/>
      <c r="CJ59" s="51"/>
      <c r="CK59" s="51"/>
      <c r="CL59" s="51"/>
      <c r="CM59" s="51"/>
      <c r="CN59" s="51"/>
      <c r="CO59" s="51"/>
      <c r="CP59" s="51"/>
    </row>
    <row r="60" spans="20:94" s="49" customFormat="1" ht="13" customHeight="1">
      <c r="T60" s="51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51"/>
      <c r="AQ60" s="51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  <c r="BQ60" s="51"/>
      <c r="BR60" s="51"/>
      <c r="BS60" s="51"/>
      <c r="BT60" s="51"/>
      <c r="BU60" s="51"/>
      <c r="BV60" s="51"/>
      <c r="BW60" s="51"/>
      <c r="BX60" s="51"/>
      <c r="BY60" s="51"/>
      <c r="BZ60" s="51"/>
      <c r="CA60" s="51"/>
      <c r="CB60" s="51"/>
      <c r="CC60" s="51"/>
      <c r="CD60" s="51"/>
      <c r="CE60" s="51"/>
      <c r="CF60" s="51"/>
      <c r="CG60" s="51"/>
      <c r="CH60" s="51"/>
      <c r="CI60" s="51"/>
      <c r="CJ60" s="51"/>
      <c r="CK60" s="51"/>
      <c r="CL60" s="51"/>
      <c r="CM60" s="51"/>
      <c r="CN60" s="51"/>
      <c r="CO60" s="51"/>
      <c r="CP60" s="51"/>
    </row>
    <row r="61" spans="20:94" s="49" customFormat="1" ht="13" customHeight="1"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51"/>
      <c r="AQ61" s="51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  <c r="BQ61" s="51"/>
      <c r="BR61" s="51"/>
      <c r="BS61" s="51"/>
      <c r="BT61" s="51"/>
      <c r="BU61" s="51"/>
      <c r="BV61" s="51"/>
      <c r="BW61" s="51"/>
      <c r="BX61" s="51"/>
      <c r="BY61" s="51"/>
      <c r="BZ61" s="51"/>
      <c r="CA61" s="51"/>
      <c r="CB61" s="51"/>
      <c r="CC61" s="51"/>
      <c r="CD61" s="51"/>
      <c r="CE61" s="51"/>
      <c r="CF61" s="51"/>
      <c r="CG61" s="51"/>
      <c r="CH61" s="51"/>
      <c r="CI61" s="51"/>
      <c r="CJ61" s="51"/>
      <c r="CK61" s="51"/>
      <c r="CL61" s="51"/>
      <c r="CM61" s="51"/>
      <c r="CN61" s="51"/>
      <c r="CO61" s="51"/>
      <c r="CP61" s="51"/>
    </row>
    <row r="62" spans="20:94" s="49" customFormat="1" ht="13" customHeight="1"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51"/>
      <c r="AQ62" s="51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  <c r="BQ62" s="51"/>
      <c r="BR62" s="51"/>
      <c r="BS62" s="51"/>
      <c r="BT62" s="51"/>
      <c r="BU62" s="51"/>
      <c r="BV62" s="51"/>
      <c r="BW62" s="51"/>
      <c r="BX62" s="51"/>
      <c r="BY62" s="51"/>
      <c r="BZ62" s="51"/>
      <c r="CA62" s="51"/>
      <c r="CB62" s="51"/>
      <c r="CC62" s="51"/>
      <c r="CD62" s="51"/>
      <c r="CE62" s="51"/>
      <c r="CF62" s="51"/>
      <c r="CG62" s="51"/>
      <c r="CH62" s="51"/>
      <c r="CI62" s="51"/>
      <c r="CJ62" s="51"/>
      <c r="CK62" s="51"/>
      <c r="CL62" s="51"/>
      <c r="CM62" s="51"/>
      <c r="CN62" s="51"/>
      <c r="CO62" s="51"/>
      <c r="CP62" s="51"/>
    </row>
    <row r="63" spans="20:94" s="49" customFormat="1" ht="13" customHeight="1"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</row>
    <row r="64" spans="20:94" s="49" customFormat="1" ht="13" customHeight="1"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51"/>
      <c r="AQ64" s="51"/>
      <c r="AR64" s="51"/>
      <c r="AS64" s="51"/>
      <c r="AT64" s="51"/>
      <c r="AU64" s="51"/>
      <c r="AV64" s="51"/>
      <c r="AW64" s="51"/>
      <c r="AX64" s="51"/>
      <c r="AY64" s="51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  <c r="BQ64" s="51"/>
      <c r="BR64" s="51"/>
      <c r="BS64" s="51"/>
      <c r="BT64" s="51"/>
      <c r="BU64" s="51"/>
      <c r="BV64" s="51"/>
      <c r="BW64" s="51"/>
      <c r="BX64" s="51"/>
      <c r="BY64" s="51"/>
      <c r="BZ64" s="51"/>
      <c r="CA64" s="51"/>
      <c r="CB64" s="51"/>
      <c r="CC64" s="51"/>
      <c r="CD64" s="51"/>
      <c r="CE64" s="51"/>
      <c r="CF64" s="51"/>
      <c r="CG64" s="51"/>
      <c r="CH64" s="51"/>
      <c r="CI64" s="51"/>
      <c r="CJ64" s="51"/>
      <c r="CK64" s="51"/>
      <c r="CL64" s="51"/>
      <c r="CM64" s="51"/>
      <c r="CN64" s="51"/>
      <c r="CO64" s="51"/>
      <c r="CP64" s="51"/>
    </row>
    <row r="65" spans="20:94" s="49" customFormat="1" ht="13" customHeight="1"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51"/>
      <c r="AQ65" s="51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  <c r="BQ65" s="51"/>
      <c r="BR65" s="51"/>
      <c r="BS65" s="51"/>
      <c r="BT65" s="51"/>
      <c r="BU65" s="51"/>
      <c r="BV65" s="51"/>
      <c r="BW65" s="51"/>
      <c r="BX65" s="51"/>
      <c r="BY65" s="51"/>
      <c r="BZ65" s="51"/>
      <c r="CA65" s="51"/>
      <c r="CB65" s="51"/>
      <c r="CC65" s="51"/>
      <c r="CD65" s="51"/>
      <c r="CE65" s="51"/>
      <c r="CF65" s="51"/>
      <c r="CG65" s="51"/>
      <c r="CH65" s="51"/>
      <c r="CI65" s="51"/>
      <c r="CJ65" s="51"/>
      <c r="CK65" s="51"/>
      <c r="CL65" s="51"/>
      <c r="CM65" s="51"/>
      <c r="CN65" s="51"/>
      <c r="CO65" s="51"/>
      <c r="CP65" s="51"/>
    </row>
    <row r="66" spans="20:94" s="49" customFormat="1" ht="13" customHeight="1"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51"/>
      <c r="AQ66" s="51"/>
      <c r="AR66" s="51"/>
      <c r="AS66" s="51"/>
      <c r="AT66" s="51"/>
      <c r="AU66" s="51"/>
      <c r="AV66" s="51"/>
      <c r="AW66" s="51"/>
      <c r="AX66" s="51"/>
      <c r="AY66" s="51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  <c r="BQ66" s="51"/>
      <c r="BR66" s="51"/>
      <c r="BS66" s="51"/>
      <c r="BT66" s="51"/>
      <c r="BU66" s="51"/>
      <c r="BV66" s="51"/>
      <c r="BW66" s="51"/>
      <c r="BX66" s="51"/>
      <c r="BY66" s="51"/>
      <c r="BZ66" s="51"/>
      <c r="CA66" s="51"/>
      <c r="CB66" s="51"/>
      <c r="CC66" s="51"/>
      <c r="CD66" s="51"/>
      <c r="CE66" s="51"/>
      <c r="CF66" s="51"/>
      <c r="CG66" s="51"/>
      <c r="CH66" s="51"/>
      <c r="CI66" s="51"/>
      <c r="CJ66" s="51"/>
      <c r="CK66" s="51"/>
      <c r="CL66" s="51"/>
      <c r="CM66" s="51"/>
      <c r="CN66" s="51"/>
      <c r="CO66" s="51"/>
      <c r="CP66" s="51"/>
    </row>
    <row r="67" spans="20:94" s="49" customFormat="1" ht="13" customHeight="1"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51"/>
      <c r="AQ67" s="51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  <c r="BQ67" s="51"/>
      <c r="BR67" s="51"/>
      <c r="BS67" s="51"/>
      <c r="BT67" s="51"/>
      <c r="BU67" s="51"/>
      <c r="BV67" s="51"/>
      <c r="BW67" s="51"/>
      <c r="BX67" s="51"/>
      <c r="BY67" s="51"/>
      <c r="BZ67" s="51"/>
      <c r="CA67" s="51"/>
      <c r="CB67" s="51"/>
      <c r="CC67" s="51"/>
      <c r="CD67" s="51"/>
      <c r="CE67" s="51"/>
      <c r="CF67" s="51"/>
      <c r="CG67" s="51"/>
      <c r="CH67" s="51"/>
      <c r="CI67" s="51"/>
      <c r="CJ67" s="51"/>
      <c r="CK67" s="51"/>
      <c r="CL67" s="51"/>
      <c r="CM67" s="51"/>
      <c r="CN67" s="51"/>
      <c r="CO67" s="51"/>
      <c r="CP67" s="51"/>
    </row>
    <row r="68" spans="20:94" s="49" customFormat="1" ht="13" customHeight="1"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51"/>
      <c r="AU68" s="51"/>
      <c r="AV68" s="51"/>
      <c r="AW68" s="51"/>
      <c r="AX68" s="51"/>
      <c r="AY68" s="51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  <c r="BQ68" s="51"/>
      <c r="BR68" s="51"/>
      <c r="BS68" s="51"/>
      <c r="BT68" s="51"/>
      <c r="BU68" s="51"/>
      <c r="BV68" s="51"/>
      <c r="BW68" s="51"/>
      <c r="BX68" s="51"/>
      <c r="BY68" s="51"/>
      <c r="BZ68" s="51"/>
      <c r="CA68" s="51"/>
      <c r="CB68" s="51"/>
      <c r="CC68" s="51"/>
      <c r="CD68" s="51"/>
      <c r="CE68" s="51"/>
      <c r="CF68" s="51"/>
      <c r="CG68" s="51"/>
      <c r="CH68" s="51"/>
      <c r="CI68" s="51"/>
      <c r="CJ68" s="51"/>
      <c r="CK68" s="51"/>
      <c r="CL68" s="51"/>
      <c r="CM68" s="51"/>
      <c r="CN68" s="51"/>
      <c r="CO68" s="51"/>
      <c r="CP68" s="51"/>
    </row>
    <row r="69" spans="20:94" s="49" customFormat="1" ht="13" customHeight="1"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51"/>
      <c r="AQ69" s="51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  <c r="BQ69" s="51"/>
      <c r="BR69" s="51"/>
      <c r="BS69" s="51"/>
      <c r="BT69" s="51"/>
      <c r="BU69" s="51"/>
      <c r="BV69" s="51"/>
      <c r="BW69" s="51"/>
      <c r="BX69" s="51"/>
      <c r="BY69" s="51"/>
      <c r="BZ69" s="51"/>
      <c r="CA69" s="51"/>
      <c r="CB69" s="51"/>
      <c r="CC69" s="51"/>
      <c r="CD69" s="51"/>
      <c r="CE69" s="51"/>
      <c r="CF69" s="51"/>
      <c r="CG69" s="51"/>
      <c r="CH69" s="51"/>
      <c r="CI69" s="51"/>
      <c r="CJ69" s="51"/>
      <c r="CK69" s="51"/>
      <c r="CL69" s="51"/>
      <c r="CM69" s="51"/>
      <c r="CN69" s="51"/>
      <c r="CO69" s="51"/>
      <c r="CP69" s="51"/>
    </row>
    <row r="70" spans="20:94" s="49" customFormat="1" ht="13" customHeight="1"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51"/>
      <c r="AQ70" s="51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  <c r="BQ70" s="51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51"/>
      <c r="CE70" s="51"/>
      <c r="CF70" s="51"/>
      <c r="CG70" s="51"/>
      <c r="CH70" s="51"/>
      <c r="CI70" s="51"/>
      <c r="CJ70" s="51"/>
      <c r="CK70" s="51"/>
      <c r="CL70" s="51"/>
      <c r="CM70" s="51"/>
      <c r="CN70" s="51"/>
      <c r="CO70" s="51"/>
      <c r="CP70" s="51"/>
    </row>
    <row r="71" spans="20:94" s="49" customFormat="1" ht="13" customHeight="1"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51"/>
      <c r="AQ71" s="51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  <c r="BQ71" s="51"/>
      <c r="BR71" s="51"/>
      <c r="BS71" s="51"/>
      <c r="BT71" s="51"/>
      <c r="BU71" s="51"/>
      <c r="BV71" s="51"/>
      <c r="BW71" s="51"/>
      <c r="BX71" s="51"/>
      <c r="BY71" s="51"/>
      <c r="BZ71" s="51"/>
      <c r="CA71" s="51"/>
      <c r="CB71" s="51"/>
      <c r="CC71" s="51"/>
      <c r="CD71" s="51"/>
      <c r="CE71" s="51"/>
      <c r="CF71" s="51"/>
      <c r="CG71" s="51"/>
      <c r="CH71" s="51"/>
      <c r="CI71" s="51"/>
      <c r="CJ71" s="51"/>
      <c r="CK71" s="51"/>
      <c r="CL71" s="51"/>
      <c r="CM71" s="51"/>
      <c r="CN71" s="51"/>
      <c r="CO71" s="51"/>
      <c r="CP71" s="51"/>
    </row>
    <row r="72" spans="20:94" s="49" customFormat="1" ht="13" customHeight="1"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51"/>
      <c r="AQ72" s="51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  <c r="BQ72" s="51"/>
      <c r="BR72" s="51"/>
      <c r="BS72" s="51"/>
      <c r="BT72" s="51"/>
      <c r="BU72" s="51"/>
      <c r="BV72" s="51"/>
      <c r="BW72" s="51"/>
      <c r="BX72" s="51"/>
      <c r="BY72" s="51"/>
      <c r="BZ72" s="51"/>
      <c r="CA72" s="51"/>
      <c r="CB72" s="51"/>
      <c r="CC72" s="51"/>
      <c r="CD72" s="51"/>
      <c r="CE72" s="51"/>
      <c r="CF72" s="51"/>
      <c r="CG72" s="51"/>
      <c r="CH72" s="51"/>
      <c r="CI72" s="51"/>
      <c r="CJ72" s="51"/>
      <c r="CK72" s="51"/>
      <c r="CL72" s="51"/>
      <c r="CM72" s="51"/>
      <c r="CN72" s="51"/>
      <c r="CO72" s="51"/>
      <c r="CP72" s="51"/>
    </row>
    <row r="73" spans="20:94" s="49" customFormat="1" ht="13" customHeight="1">
      <c r="T73" s="51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51"/>
      <c r="AQ73" s="51"/>
      <c r="AR73" s="51"/>
      <c r="AS73" s="51"/>
      <c r="AT73" s="51"/>
      <c r="AU73" s="51"/>
      <c r="AV73" s="51"/>
      <c r="AW73" s="51"/>
      <c r="AX73" s="51"/>
      <c r="AY73" s="51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  <c r="BQ73" s="51"/>
      <c r="BR73" s="51"/>
      <c r="BS73" s="51"/>
      <c r="BT73" s="51"/>
      <c r="BU73" s="51"/>
      <c r="BV73" s="51"/>
      <c r="BW73" s="51"/>
      <c r="BX73" s="51"/>
      <c r="BY73" s="51"/>
      <c r="BZ73" s="51"/>
      <c r="CA73" s="51"/>
      <c r="CB73" s="51"/>
      <c r="CC73" s="51"/>
      <c r="CD73" s="51"/>
      <c r="CE73" s="51"/>
      <c r="CF73" s="51"/>
      <c r="CG73" s="51"/>
      <c r="CH73" s="51"/>
      <c r="CI73" s="51"/>
      <c r="CJ73" s="51"/>
      <c r="CK73" s="51"/>
      <c r="CL73" s="51"/>
      <c r="CM73" s="51"/>
      <c r="CN73" s="51"/>
      <c r="CO73" s="51"/>
      <c r="CP73" s="51"/>
    </row>
    <row r="74" spans="20:94" s="49" customFormat="1" ht="13" customHeight="1">
      <c r="T74" s="51"/>
      <c r="U74" s="51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51"/>
      <c r="AS74" s="51"/>
      <c r="AT74" s="51"/>
      <c r="AU74" s="51"/>
      <c r="AV74" s="51"/>
      <c r="AW74" s="51"/>
      <c r="AX74" s="51"/>
      <c r="AY74" s="51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  <c r="BQ74" s="51"/>
      <c r="BR74" s="51"/>
      <c r="BS74" s="51"/>
      <c r="BT74" s="51"/>
      <c r="BU74" s="51"/>
      <c r="BV74" s="51"/>
      <c r="BW74" s="51"/>
      <c r="BX74" s="51"/>
      <c r="BY74" s="51"/>
      <c r="BZ74" s="51"/>
      <c r="CA74" s="51"/>
      <c r="CB74" s="51"/>
      <c r="CC74" s="51"/>
      <c r="CD74" s="51"/>
      <c r="CE74" s="51"/>
      <c r="CF74" s="51"/>
      <c r="CG74" s="51"/>
      <c r="CH74" s="51"/>
      <c r="CI74" s="51"/>
      <c r="CJ74" s="51"/>
      <c r="CK74" s="51"/>
      <c r="CL74" s="51"/>
      <c r="CM74" s="51"/>
      <c r="CN74" s="51"/>
      <c r="CO74" s="51"/>
      <c r="CP74" s="51"/>
    </row>
    <row r="75" spans="20:94" s="49" customFormat="1" ht="13" customHeight="1"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51"/>
      <c r="AT75" s="51"/>
      <c r="AU75" s="51"/>
      <c r="AV75" s="51"/>
      <c r="AW75" s="51"/>
      <c r="AX75" s="51"/>
      <c r="AY75" s="51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  <c r="BQ75" s="51"/>
      <c r="BR75" s="51"/>
      <c r="BS75" s="51"/>
      <c r="BT75" s="51"/>
      <c r="BU75" s="51"/>
      <c r="BV75" s="51"/>
      <c r="BW75" s="51"/>
      <c r="BX75" s="51"/>
      <c r="BY75" s="51"/>
      <c r="BZ75" s="51"/>
      <c r="CA75" s="51"/>
      <c r="CB75" s="51"/>
      <c r="CC75" s="51"/>
      <c r="CD75" s="51"/>
      <c r="CE75" s="51"/>
      <c r="CF75" s="51"/>
      <c r="CG75" s="51"/>
      <c r="CH75" s="51"/>
      <c r="CI75" s="51"/>
      <c r="CJ75" s="51"/>
      <c r="CK75" s="51"/>
      <c r="CL75" s="51"/>
      <c r="CM75" s="51"/>
      <c r="CN75" s="51"/>
      <c r="CO75" s="51"/>
      <c r="CP75" s="51"/>
    </row>
    <row r="76" spans="20:94" s="49" customFormat="1" ht="13" customHeight="1">
      <c r="T76" s="51"/>
      <c r="U76" s="51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51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  <c r="BQ76" s="51"/>
      <c r="BR76" s="51"/>
      <c r="BS76" s="51"/>
      <c r="BT76" s="51"/>
      <c r="BU76" s="51"/>
      <c r="BV76" s="51"/>
      <c r="BW76" s="51"/>
      <c r="BX76" s="51"/>
      <c r="BY76" s="51"/>
      <c r="BZ76" s="51"/>
      <c r="CA76" s="51"/>
      <c r="CB76" s="51"/>
      <c r="CC76" s="51"/>
      <c r="CD76" s="51"/>
      <c r="CE76" s="51"/>
      <c r="CF76" s="51"/>
      <c r="CG76" s="51"/>
      <c r="CH76" s="51"/>
      <c r="CI76" s="51"/>
      <c r="CJ76" s="51"/>
      <c r="CK76" s="51"/>
      <c r="CL76" s="51"/>
      <c r="CM76" s="51"/>
      <c r="CN76" s="51"/>
      <c r="CO76" s="51"/>
      <c r="CP76" s="51"/>
    </row>
    <row r="77" spans="20:94" s="49" customFormat="1" ht="13" customHeight="1"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/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  <c r="CC77" s="51"/>
      <c r="CD77" s="51"/>
      <c r="CE77" s="51"/>
      <c r="CF77" s="51"/>
      <c r="CG77" s="51"/>
      <c r="CH77" s="51"/>
      <c r="CI77" s="51"/>
      <c r="CJ77" s="51"/>
      <c r="CK77" s="51"/>
      <c r="CL77" s="51"/>
      <c r="CM77" s="51"/>
      <c r="CN77" s="51"/>
      <c r="CO77" s="51"/>
      <c r="CP77" s="51"/>
    </row>
    <row r="78" spans="20:94" s="49" customFormat="1" ht="13" customHeight="1">
      <c r="T78" s="51"/>
      <c r="U78" s="51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51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  <c r="BQ78" s="51"/>
      <c r="BR78" s="51"/>
      <c r="BS78" s="51"/>
      <c r="BT78" s="51"/>
      <c r="BU78" s="51"/>
      <c r="BV78" s="51"/>
      <c r="BW78" s="51"/>
      <c r="BX78" s="51"/>
      <c r="BY78" s="51"/>
      <c r="BZ78" s="51"/>
      <c r="CA78" s="51"/>
      <c r="CB78" s="51"/>
      <c r="CC78" s="51"/>
      <c r="CD78" s="51"/>
      <c r="CE78" s="51"/>
      <c r="CF78" s="51"/>
      <c r="CG78" s="51"/>
      <c r="CH78" s="51"/>
      <c r="CI78" s="51"/>
      <c r="CJ78" s="51"/>
      <c r="CK78" s="51"/>
      <c r="CL78" s="51"/>
      <c r="CM78" s="51"/>
      <c r="CN78" s="51"/>
      <c r="CO78" s="51"/>
      <c r="CP78" s="51"/>
    </row>
    <row r="79" spans="20:94" s="49" customFormat="1" ht="13" customHeight="1"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51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  <c r="BQ79" s="51"/>
      <c r="BR79" s="51"/>
      <c r="BS79" s="51"/>
      <c r="BT79" s="51"/>
      <c r="BU79" s="51"/>
      <c r="BV79" s="51"/>
      <c r="BW79" s="51"/>
      <c r="BX79" s="51"/>
      <c r="BY79" s="51"/>
      <c r="BZ79" s="51"/>
      <c r="CA79" s="51"/>
      <c r="CB79" s="51"/>
      <c r="CC79" s="51"/>
      <c r="CD79" s="51"/>
      <c r="CE79" s="51"/>
      <c r="CF79" s="51"/>
      <c r="CG79" s="51"/>
      <c r="CH79" s="51"/>
      <c r="CI79" s="51"/>
      <c r="CJ79" s="51"/>
      <c r="CK79" s="51"/>
      <c r="CL79" s="51"/>
      <c r="CM79" s="51"/>
      <c r="CN79" s="51"/>
      <c r="CO79" s="51"/>
      <c r="CP79" s="51"/>
    </row>
    <row r="80" spans="20:94" s="49" customFormat="1" ht="13" customHeight="1"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51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  <c r="BQ80" s="51"/>
      <c r="BR80" s="51"/>
      <c r="BS80" s="51"/>
      <c r="BT80" s="51"/>
      <c r="BU80" s="51"/>
      <c r="BV80" s="51"/>
      <c r="BW80" s="51"/>
      <c r="BX80" s="51"/>
      <c r="BY80" s="51"/>
      <c r="BZ80" s="51"/>
      <c r="CA80" s="51"/>
      <c r="CB80" s="51"/>
      <c r="CC80" s="51"/>
      <c r="CD80" s="51"/>
      <c r="CE80" s="51"/>
      <c r="CF80" s="51"/>
      <c r="CG80" s="51"/>
      <c r="CH80" s="51"/>
      <c r="CI80" s="51"/>
      <c r="CJ80" s="51"/>
      <c r="CK80" s="51"/>
      <c r="CL80" s="51"/>
      <c r="CM80" s="51"/>
      <c r="CN80" s="51"/>
      <c r="CO80" s="51"/>
      <c r="CP80" s="51"/>
    </row>
    <row r="81" spans="20:94" s="49" customFormat="1" ht="13" customHeight="1"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  <c r="CC81" s="51"/>
      <c r="CD81" s="51"/>
      <c r="CE81" s="51"/>
      <c r="CF81" s="51"/>
      <c r="CG81" s="51"/>
      <c r="CH81" s="51"/>
      <c r="CI81" s="51"/>
      <c r="CJ81" s="51"/>
      <c r="CK81" s="51"/>
      <c r="CL81" s="51"/>
      <c r="CM81" s="51"/>
      <c r="CN81" s="51"/>
      <c r="CO81" s="51"/>
      <c r="CP81" s="51"/>
    </row>
    <row r="82" spans="20:94" s="49" customFormat="1" ht="13" customHeight="1"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  <c r="CC82" s="51"/>
      <c r="CD82" s="51"/>
      <c r="CE82" s="51"/>
      <c r="CF82" s="51"/>
      <c r="CG82" s="51"/>
      <c r="CH82" s="51"/>
      <c r="CI82" s="51"/>
      <c r="CJ82" s="51"/>
      <c r="CK82" s="51"/>
      <c r="CL82" s="51"/>
      <c r="CM82" s="51"/>
      <c r="CN82" s="51"/>
      <c r="CO82" s="51"/>
      <c r="CP82" s="51"/>
    </row>
    <row r="83" spans="20:94" s="49" customFormat="1" ht="13" customHeight="1"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  <c r="CC83" s="51"/>
      <c r="CD83" s="51"/>
      <c r="CE83" s="51"/>
      <c r="CF83" s="51"/>
      <c r="CG83" s="51"/>
      <c r="CH83" s="51"/>
      <c r="CI83" s="51"/>
      <c r="CJ83" s="51"/>
      <c r="CK83" s="51"/>
      <c r="CL83" s="51"/>
      <c r="CM83" s="51"/>
      <c r="CN83" s="51"/>
      <c r="CO83" s="51"/>
      <c r="CP83" s="51"/>
    </row>
    <row r="84" spans="20:94" s="49" customFormat="1" ht="13" customHeight="1"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51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  <c r="BQ84" s="51"/>
      <c r="BR84" s="51"/>
      <c r="BS84" s="51"/>
      <c r="BT84" s="51"/>
      <c r="BU84" s="51"/>
      <c r="BV84" s="51"/>
      <c r="BW84" s="51"/>
      <c r="BX84" s="51"/>
      <c r="BY84" s="51"/>
      <c r="BZ84" s="51"/>
      <c r="CA84" s="51"/>
      <c r="CB84" s="51"/>
      <c r="CC84" s="51"/>
      <c r="CD84" s="51"/>
      <c r="CE84" s="51"/>
      <c r="CF84" s="51"/>
      <c r="CG84" s="51"/>
      <c r="CH84" s="51"/>
      <c r="CI84" s="51"/>
      <c r="CJ84" s="51"/>
      <c r="CK84" s="51"/>
      <c r="CL84" s="51"/>
      <c r="CM84" s="51"/>
      <c r="CN84" s="51"/>
      <c r="CO84" s="51"/>
      <c r="CP84" s="51"/>
    </row>
    <row r="85" spans="20:94" s="49" customFormat="1" ht="13" customHeight="1">
      <c r="T85" s="51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51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  <c r="BQ85" s="51"/>
      <c r="BR85" s="51"/>
      <c r="BS85" s="51"/>
      <c r="BT85" s="51"/>
      <c r="BU85" s="51"/>
      <c r="BV85" s="51"/>
      <c r="BW85" s="51"/>
      <c r="BX85" s="51"/>
      <c r="BY85" s="51"/>
      <c r="BZ85" s="51"/>
      <c r="CA85" s="51"/>
      <c r="CB85" s="51"/>
      <c r="CC85" s="51"/>
      <c r="CD85" s="51"/>
      <c r="CE85" s="51"/>
      <c r="CF85" s="51"/>
      <c r="CG85" s="51"/>
      <c r="CH85" s="51"/>
      <c r="CI85" s="51"/>
      <c r="CJ85" s="51"/>
      <c r="CK85" s="51"/>
      <c r="CL85" s="51"/>
      <c r="CM85" s="51"/>
      <c r="CN85" s="51"/>
      <c r="CO85" s="51"/>
      <c r="CP85" s="51"/>
    </row>
    <row r="86" spans="20:94" s="49" customFormat="1" ht="13" customHeight="1"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  <c r="CC86" s="51"/>
      <c r="CD86" s="51"/>
      <c r="CE86" s="51"/>
      <c r="CF86" s="51"/>
      <c r="CG86" s="51"/>
      <c r="CH86" s="51"/>
      <c r="CI86" s="51"/>
      <c r="CJ86" s="51"/>
      <c r="CK86" s="51"/>
      <c r="CL86" s="51"/>
      <c r="CM86" s="51"/>
      <c r="CN86" s="51"/>
      <c r="CO86" s="51"/>
      <c r="CP86" s="51"/>
    </row>
    <row r="87" spans="20:94" s="49" customFormat="1" ht="13" customHeight="1"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  <c r="BQ87" s="51"/>
      <c r="BR87" s="51"/>
      <c r="BS87" s="51"/>
      <c r="BT87" s="51"/>
      <c r="BU87" s="51"/>
      <c r="BV87" s="51"/>
      <c r="BW87" s="51"/>
      <c r="BX87" s="51"/>
      <c r="BY87" s="51"/>
      <c r="BZ87" s="51"/>
      <c r="CA87" s="51"/>
      <c r="CB87" s="51"/>
      <c r="CC87" s="51"/>
      <c r="CD87" s="51"/>
      <c r="CE87" s="51"/>
      <c r="CF87" s="51"/>
      <c r="CG87" s="51"/>
      <c r="CH87" s="51"/>
      <c r="CI87" s="51"/>
      <c r="CJ87" s="51"/>
      <c r="CK87" s="51"/>
      <c r="CL87" s="51"/>
      <c r="CM87" s="51"/>
      <c r="CN87" s="51"/>
      <c r="CO87" s="51"/>
      <c r="CP87" s="51"/>
    </row>
    <row r="88" spans="20:94" s="49" customFormat="1" ht="13" customHeight="1"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51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  <c r="BQ88" s="51"/>
      <c r="BR88" s="51"/>
      <c r="BS88" s="51"/>
      <c r="BT88" s="51"/>
      <c r="BU88" s="51"/>
      <c r="BV88" s="51"/>
      <c r="BW88" s="51"/>
      <c r="BX88" s="51"/>
      <c r="BY88" s="51"/>
      <c r="BZ88" s="51"/>
      <c r="CA88" s="51"/>
      <c r="CB88" s="51"/>
      <c r="CC88" s="51"/>
      <c r="CD88" s="51"/>
      <c r="CE88" s="51"/>
      <c r="CF88" s="51"/>
      <c r="CG88" s="51"/>
      <c r="CH88" s="51"/>
      <c r="CI88" s="51"/>
      <c r="CJ88" s="51"/>
      <c r="CK88" s="51"/>
      <c r="CL88" s="51"/>
      <c r="CM88" s="51"/>
      <c r="CN88" s="51"/>
      <c r="CO88" s="51"/>
      <c r="CP88" s="51"/>
    </row>
    <row r="89" spans="20:94" s="49" customFormat="1" ht="13" customHeight="1"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  <c r="BQ89" s="51"/>
      <c r="BR89" s="51"/>
      <c r="BS89" s="51"/>
      <c r="BT89" s="51"/>
      <c r="BU89" s="51"/>
      <c r="BV89" s="51"/>
      <c r="BW89" s="51"/>
      <c r="BX89" s="51"/>
      <c r="BY89" s="51"/>
      <c r="BZ89" s="51"/>
      <c r="CA89" s="51"/>
      <c r="CB89" s="51"/>
      <c r="CC89" s="51"/>
      <c r="CD89" s="51"/>
      <c r="CE89" s="51"/>
      <c r="CF89" s="51"/>
      <c r="CG89" s="51"/>
      <c r="CH89" s="51"/>
      <c r="CI89" s="51"/>
      <c r="CJ89" s="51"/>
      <c r="CK89" s="51"/>
      <c r="CL89" s="51"/>
      <c r="CM89" s="51"/>
      <c r="CN89" s="51"/>
      <c r="CO89" s="51"/>
      <c r="CP89" s="51"/>
    </row>
    <row r="90" spans="20:94" s="49" customFormat="1" ht="13" customHeight="1">
      <c r="T90" s="51"/>
      <c r="U90" s="51"/>
      <c r="V90" s="51"/>
      <c r="W90" s="51"/>
      <c r="X90" s="51"/>
      <c r="Y90" s="51"/>
      <c r="Z90" s="5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51"/>
      <c r="AQ90" s="51"/>
      <c r="AR90" s="51"/>
      <c r="AS90" s="51"/>
      <c r="AT90" s="51"/>
      <c r="AU90" s="51"/>
      <c r="AV90" s="51"/>
      <c r="AW90" s="51"/>
      <c r="AX90" s="51"/>
      <c r="AY90" s="51"/>
      <c r="AZ90" s="51"/>
      <c r="BA90" s="51"/>
      <c r="BB90" s="51"/>
      <c r="BC90" s="51"/>
      <c r="BD90" s="51"/>
      <c r="BE90" s="51"/>
      <c r="BF90" s="51"/>
      <c r="BG90" s="51"/>
      <c r="BH90" s="51"/>
      <c r="BI90" s="51"/>
      <c r="BJ90" s="51"/>
      <c r="BK90" s="51"/>
      <c r="BL90" s="51"/>
      <c r="BM90" s="51"/>
      <c r="BN90" s="51"/>
      <c r="BO90" s="51"/>
      <c r="BP90" s="51"/>
      <c r="BQ90" s="51"/>
      <c r="BR90" s="51"/>
      <c r="BS90" s="51"/>
      <c r="BT90" s="51"/>
      <c r="BU90" s="51"/>
      <c r="BV90" s="51"/>
      <c r="BW90" s="51"/>
      <c r="BX90" s="51"/>
      <c r="BY90" s="51"/>
      <c r="BZ90" s="51"/>
      <c r="CA90" s="51"/>
      <c r="CB90" s="51"/>
      <c r="CC90" s="51"/>
      <c r="CD90" s="51"/>
      <c r="CE90" s="51"/>
      <c r="CF90" s="51"/>
      <c r="CG90" s="51"/>
      <c r="CH90" s="51"/>
      <c r="CI90" s="51"/>
      <c r="CJ90" s="51"/>
      <c r="CK90" s="51"/>
      <c r="CL90" s="51"/>
      <c r="CM90" s="51"/>
      <c r="CN90" s="51"/>
      <c r="CO90" s="51"/>
      <c r="CP90" s="51"/>
    </row>
    <row r="91" spans="20:94" s="49" customFormat="1" ht="13" customHeight="1"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51"/>
      <c r="AQ91" s="51"/>
      <c r="AR91" s="51"/>
      <c r="AS91" s="51"/>
      <c r="AT91" s="51"/>
      <c r="AU91" s="51"/>
      <c r="AV91" s="51"/>
      <c r="AW91" s="51"/>
      <c r="AX91" s="51"/>
      <c r="AY91" s="51"/>
      <c r="AZ91" s="51"/>
      <c r="BA91" s="51"/>
      <c r="BB91" s="51"/>
      <c r="BC91" s="51"/>
      <c r="BD91" s="51"/>
      <c r="BE91" s="51"/>
      <c r="BF91" s="51"/>
      <c r="BG91" s="51"/>
      <c r="BH91" s="51"/>
      <c r="BI91" s="51"/>
      <c r="BJ91" s="51"/>
      <c r="BK91" s="51"/>
      <c r="BL91" s="51"/>
      <c r="BM91" s="51"/>
      <c r="BN91" s="51"/>
      <c r="BO91" s="51"/>
      <c r="BP91" s="51"/>
      <c r="BQ91" s="51"/>
      <c r="BR91" s="51"/>
      <c r="BS91" s="51"/>
      <c r="BT91" s="51"/>
      <c r="BU91" s="51"/>
      <c r="BV91" s="51"/>
      <c r="BW91" s="51"/>
      <c r="BX91" s="51"/>
      <c r="BY91" s="51"/>
      <c r="BZ91" s="51"/>
      <c r="CA91" s="51"/>
      <c r="CB91" s="51"/>
      <c r="CC91" s="51"/>
      <c r="CD91" s="51"/>
      <c r="CE91" s="51"/>
      <c r="CF91" s="51"/>
      <c r="CG91" s="51"/>
      <c r="CH91" s="51"/>
      <c r="CI91" s="51"/>
      <c r="CJ91" s="51"/>
      <c r="CK91" s="51"/>
      <c r="CL91" s="51"/>
      <c r="CM91" s="51"/>
      <c r="CN91" s="51"/>
      <c r="CO91" s="51"/>
      <c r="CP91" s="51"/>
    </row>
    <row r="92" spans="20:94" s="49" customFormat="1" ht="13" customHeight="1"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51"/>
      <c r="AQ92" s="51"/>
      <c r="AR92" s="51"/>
      <c r="AS92" s="51"/>
      <c r="AT92" s="5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/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  <c r="CC92" s="51"/>
      <c r="CD92" s="51"/>
      <c r="CE92" s="51"/>
      <c r="CF92" s="51"/>
      <c r="CG92" s="51"/>
      <c r="CH92" s="51"/>
      <c r="CI92" s="51"/>
      <c r="CJ92" s="51"/>
      <c r="CK92" s="51"/>
      <c r="CL92" s="51"/>
      <c r="CM92" s="51"/>
      <c r="CN92" s="51"/>
      <c r="CO92" s="51"/>
      <c r="CP92" s="51"/>
    </row>
    <row r="93" spans="20:94" s="49" customFormat="1" ht="13" customHeight="1">
      <c r="T93" s="51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51"/>
      <c r="AQ93" s="51"/>
      <c r="AR93" s="51"/>
      <c r="AS93" s="51"/>
      <c r="AT93" s="51"/>
      <c r="AU93" s="51"/>
      <c r="AV93" s="51"/>
      <c r="AW93" s="51"/>
      <c r="AX93" s="51"/>
      <c r="AY93" s="51"/>
      <c r="AZ93" s="51"/>
      <c r="BA93" s="51"/>
      <c r="BB93" s="51"/>
      <c r="BC93" s="51"/>
      <c r="BD93" s="51"/>
      <c r="BE93" s="51"/>
      <c r="BF93" s="51"/>
      <c r="BG93" s="51"/>
      <c r="BH93" s="51"/>
      <c r="BI93" s="51"/>
      <c r="BJ93" s="51"/>
      <c r="BK93" s="51"/>
      <c r="BL93" s="51"/>
      <c r="BM93" s="51"/>
      <c r="BN93" s="51"/>
      <c r="BO93" s="51"/>
      <c r="BP93" s="51"/>
      <c r="BQ93" s="51"/>
      <c r="BR93" s="51"/>
      <c r="BS93" s="51"/>
      <c r="BT93" s="51"/>
      <c r="BU93" s="51"/>
      <c r="BV93" s="51"/>
      <c r="BW93" s="51"/>
      <c r="BX93" s="51"/>
      <c r="BY93" s="51"/>
      <c r="BZ93" s="51"/>
      <c r="CA93" s="51"/>
      <c r="CB93" s="51"/>
      <c r="CC93" s="51"/>
      <c r="CD93" s="51"/>
      <c r="CE93" s="51"/>
      <c r="CF93" s="51"/>
      <c r="CG93" s="51"/>
      <c r="CH93" s="51"/>
      <c r="CI93" s="51"/>
      <c r="CJ93" s="51"/>
      <c r="CK93" s="51"/>
      <c r="CL93" s="51"/>
      <c r="CM93" s="51"/>
      <c r="CN93" s="51"/>
      <c r="CO93" s="51"/>
      <c r="CP93" s="51"/>
    </row>
    <row r="94" spans="20:94" s="49" customFormat="1" ht="13" customHeight="1">
      <c r="T94" s="51"/>
      <c r="U94" s="51"/>
      <c r="V94" s="51"/>
      <c r="W94" s="51"/>
      <c r="X94" s="51"/>
      <c r="Y94" s="51"/>
      <c r="Z94" s="5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51"/>
      <c r="AQ94" s="51"/>
      <c r="AR94" s="51"/>
      <c r="AS94" s="51"/>
      <c r="AT94" s="51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1"/>
      <c r="BY94" s="51"/>
      <c r="BZ94" s="51"/>
      <c r="CA94" s="51"/>
      <c r="CB94" s="51"/>
      <c r="CC94" s="51"/>
      <c r="CD94" s="51"/>
      <c r="CE94" s="51"/>
      <c r="CF94" s="51"/>
      <c r="CG94" s="51"/>
      <c r="CH94" s="51"/>
      <c r="CI94" s="51"/>
      <c r="CJ94" s="51"/>
      <c r="CK94" s="51"/>
      <c r="CL94" s="51"/>
      <c r="CM94" s="51"/>
      <c r="CN94" s="51"/>
      <c r="CO94" s="51"/>
      <c r="CP94" s="51"/>
    </row>
    <row r="95" spans="20:94" s="49" customFormat="1" ht="13" customHeight="1"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51"/>
      <c r="AY95" s="51"/>
      <c r="AZ95" s="51"/>
      <c r="BA95" s="51"/>
      <c r="BB95" s="51"/>
      <c r="BC95" s="51"/>
      <c r="BD95" s="51"/>
      <c r="BE95" s="51"/>
      <c r="BF95" s="51"/>
      <c r="BG95" s="51"/>
      <c r="BH95" s="51"/>
      <c r="BI95" s="51"/>
      <c r="BJ95" s="51"/>
      <c r="BK95" s="51"/>
      <c r="BL95" s="51"/>
      <c r="BM95" s="51"/>
      <c r="BN95" s="51"/>
      <c r="BO95" s="51"/>
      <c r="BP95" s="51"/>
      <c r="BQ95" s="51"/>
      <c r="BR95" s="51"/>
      <c r="BS95" s="51"/>
      <c r="BT95" s="51"/>
      <c r="BU95" s="51"/>
      <c r="BV95" s="51"/>
      <c r="BW95" s="51"/>
      <c r="BX95" s="51"/>
      <c r="BY95" s="51"/>
      <c r="BZ95" s="51"/>
      <c r="CA95" s="51"/>
      <c r="CB95" s="51"/>
      <c r="CC95" s="51"/>
      <c r="CD95" s="51"/>
      <c r="CE95" s="51"/>
      <c r="CF95" s="51"/>
      <c r="CG95" s="51"/>
      <c r="CH95" s="51"/>
      <c r="CI95" s="51"/>
      <c r="CJ95" s="51"/>
      <c r="CK95" s="51"/>
      <c r="CL95" s="51"/>
      <c r="CM95" s="51"/>
      <c r="CN95" s="51"/>
      <c r="CO95" s="51"/>
      <c r="CP95" s="51"/>
    </row>
    <row r="96" spans="20:94" s="49" customFormat="1" ht="13" customHeight="1">
      <c r="T96" s="51"/>
      <c r="U96" s="51"/>
      <c r="V96" s="51"/>
      <c r="W96" s="51"/>
      <c r="X96" s="51"/>
      <c r="Y96" s="51"/>
      <c r="Z96" s="5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51"/>
      <c r="AQ96" s="51"/>
      <c r="AR96" s="51"/>
      <c r="AS96" s="51"/>
      <c r="AT96" s="51"/>
      <c r="AU96" s="51"/>
      <c r="AV96" s="51"/>
      <c r="AW96" s="51"/>
      <c r="AX96" s="51"/>
      <c r="AY96" s="51"/>
      <c r="AZ96" s="51"/>
      <c r="BA96" s="51"/>
      <c r="BB96" s="51"/>
      <c r="BC96" s="51"/>
      <c r="BD96" s="51"/>
      <c r="BE96" s="51"/>
      <c r="BF96" s="51"/>
      <c r="BG96" s="51"/>
      <c r="BH96" s="51"/>
      <c r="BI96" s="51"/>
      <c r="BJ96" s="51"/>
      <c r="BK96" s="51"/>
      <c r="BL96" s="51"/>
      <c r="BM96" s="51"/>
      <c r="BN96" s="51"/>
      <c r="BO96" s="51"/>
      <c r="BP96" s="51"/>
      <c r="BQ96" s="51"/>
      <c r="BR96" s="51"/>
      <c r="BS96" s="51"/>
      <c r="BT96" s="51"/>
      <c r="BU96" s="51"/>
      <c r="BV96" s="51"/>
      <c r="BW96" s="51"/>
      <c r="BX96" s="51"/>
      <c r="BY96" s="51"/>
      <c r="BZ96" s="51"/>
      <c r="CA96" s="51"/>
      <c r="CB96" s="51"/>
      <c r="CC96" s="51"/>
      <c r="CD96" s="51"/>
      <c r="CE96" s="51"/>
      <c r="CF96" s="51"/>
      <c r="CG96" s="51"/>
      <c r="CH96" s="51"/>
      <c r="CI96" s="51"/>
      <c r="CJ96" s="51"/>
      <c r="CK96" s="51"/>
      <c r="CL96" s="51"/>
      <c r="CM96" s="51"/>
      <c r="CN96" s="51"/>
      <c r="CO96" s="51"/>
      <c r="CP96" s="51"/>
    </row>
    <row r="97" spans="20:94" s="49" customFormat="1" ht="13" customHeight="1"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  <c r="CC97" s="51"/>
      <c r="CD97" s="51"/>
      <c r="CE97" s="51"/>
      <c r="CF97" s="51"/>
      <c r="CG97" s="51"/>
      <c r="CH97" s="51"/>
      <c r="CI97" s="51"/>
      <c r="CJ97" s="51"/>
      <c r="CK97" s="51"/>
      <c r="CL97" s="51"/>
      <c r="CM97" s="51"/>
      <c r="CN97" s="51"/>
      <c r="CO97" s="51"/>
      <c r="CP97" s="51"/>
    </row>
    <row r="98" spans="20:94" s="49" customFormat="1" ht="13" customHeight="1"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51"/>
      <c r="AQ98" s="51"/>
      <c r="AR98" s="51"/>
      <c r="AS98" s="51"/>
      <c r="AT98" s="51"/>
      <c r="AU98" s="51"/>
      <c r="AV98" s="51"/>
      <c r="AW98" s="51"/>
      <c r="AX98" s="51"/>
      <c r="AY98" s="51"/>
      <c r="AZ98" s="51"/>
      <c r="BA98" s="51"/>
      <c r="BB98" s="51"/>
      <c r="BC98" s="51"/>
      <c r="BD98" s="51"/>
      <c r="BE98" s="51"/>
      <c r="BF98" s="51"/>
      <c r="BG98" s="51"/>
      <c r="BH98" s="51"/>
      <c r="BI98" s="51"/>
      <c r="BJ98" s="51"/>
      <c r="BK98" s="51"/>
      <c r="BL98" s="51"/>
      <c r="BM98" s="51"/>
      <c r="BN98" s="51"/>
      <c r="BO98" s="51"/>
      <c r="BP98" s="51"/>
      <c r="BQ98" s="51"/>
      <c r="BR98" s="51"/>
      <c r="BS98" s="51"/>
      <c r="BT98" s="51"/>
      <c r="BU98" s="51"/>
      <c r="BV98" s="51"/>
      <c r="BW98" s="51"/>
      <c r="BX98" s="51"/>
      <c r="BY98" s="51"/>
      <c r="BZ98" s="51"/>
      <c r="CA98" s="51"/>
      <c r="CB98" s="51"/>
      <c r="CC98" s="51"/>
      <c r="CD98" s="51"/>
      <c r="CE98" s="51"/>
      <c r="CF98" s="51"/>
      <c r="CG98" s="51"/>
      <c r="CH98" s="51"/>
      <c r="CI98" s="51"/>
      <c r="CJ98" s="51"/>
      <c r="CK98" s="51"/>
      <c r="CL98" s="51"/>
      <c r="CM98" s="51"/>
      <c r="CN98" s="51"/>
      <c r="CO98" s="51"/>
      <c r="CP98" s="51"/>
    </row>
    <row r="99" spans="20:94" s="49" customFormat="1" ht="13" customHeight="1"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  <c r="AV99" s="51"/>
      <c r="AW99" s="51"/>
      <c r="AX99" s="51"/>
      <c r="AY99" s="51"/>
      <c r="AZ99" s="51"/>
      <c r="BA99" s="51"/>
      <c r="BB99" s="51"/>
      <c r="BC99" s="51"/>
      <c r="BD99" s="51"/>
      <c r="BE99" s="51"/>
      <c r="BF99" s="51"/>
      <c r="BG99" s="51"/>
      <c r="BH99" s="51"/>
      <c r="BI99" s="51"/>
      <c r="BJ99" s="51"/>
      <c r="BK99" s="51"/>
      <c r="BL99" s="51"/>
      <c r="BM99" s="51"/>
      <c r="BN99" s="51"/>
      <c r="BO99" s="51"/>
      <c r="BP99" s="51"/>
      <c r="BQ99" s="51"/>
      <c r="BR99" s="51"/>
      <c r="BS99" s="51"/>
      <c r="BT99" s="51"/>
      <c r="BU99" s="51"/>
      <c r="BV99" s="51"/>
      <c r="BW99" s="51"/>
      <c r="BX99" s="51"/>
      <c r="BY99" s="51"/>
      <c r="BZ99" s="51"/>
      <c r="CA99" s="51"/>
      <c r="CB99" s="51"/>
      <c r="CC99" s="51"/>
      <c r="CD99" s="51"/>
      <c r="CE99" s="51"/>
      <c r="CF99" s="51"/>
      <c r="CG99" s="51"/>
      <c r="CH99" s="51"/>
      <c r="CI99" s="51"/>
      <c r="CJ99" s="51"/>
      <c r="CK99" s="51"/>
      <c r="CL99" s="51"/>
      <c r="CM99" s="51"/>
      <c r="CN99" s="51"/>
      <c r="CO99" s="51"/>
      <c r="CP99" s="51"/>
    </row>
    <row r="100" spans="20:94" s="49" customFormat="1" ht="13" customHeight="1">
      <c r="T100" s="51"/>
      <c r="U100" s="51"/>
      <c r="V100" s="51"/>
      <c r="W100" s="51"/>
      <c r="X100" s="51"/>
      <c r="Y100" s="51"/>
      <c r="Z100" s="5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51"/>
      <c r="AQ100" s="51"/>
      <c r="AR100" s="51"/>
      <c r="AS100" s="51"/>
      <c r="AT100" s="51"/>
      <c r="AU100" s="51"/>
      <c r="AV100" s="51"/>
      <c r="AW100" s="51"/>
      <c r="AX100" s="51"/>
      <c r="AY100" s="51"/>
      <c r="AZ100" s="51"/>
      <c r="BA100" s="51"/>
      <c r="BB100" s="51"/>
      <c r="BC100" s="51"/>
      <c r="BD100" s="51"/>
      <c r="BE100" s="51"/>
      <c r="BF100" s="51"/>
      <c r="BG100" s="51"/>
      <c r="BH100" s="51"/>
      <c r="BI100" s="51"/>
      <c r="BJ100" s="51"/>
      <c r="BK100" s="51"/>
      <c r="BL100" s="51"/>
      <c r="BM100" s="51"/>
      <c r="BN100" s="51"/>
      <c r="BO100" s="51"/>
      <c r="BP100" s="51"/>
      <c r="BQ100" s="51"/>
      <c r="BR100" s="51"/>
      <c r="BS100" s="51"/>
      <c r="BT100" s="51"/>
      <c r="BU100" s="51"/>
      <c r="BV100" s="51"/>
      <c r="BW100" s="51"/>
      <c r="BX100" s="51"/>
      <c r="BY100" s="51"/>
      <c r="BZ100" s="51"/>
      <c r="CA100" s="51"/>
      <c r="CB100" s="51"/>
      <c r="CC100" s="51"/>
      <c r="CD100" s="51"/>
      <c r="CE100" s="51"/>
      <c r="CF100" s="51"/>
      <c r="CG100" s="51"/>
      <c r="CH100" s="51"/>
      <c r="CI100" s="51"/>
      <c r="CJ100" s="51"/>
      <c r="CK100" s="51"/>
      <c r="CL100" s="51"/>
      <c r="CM100" s="51"/>
      <c r="CN100" s="51"/>
      <c r="CO100" s="51"/>
      <c r="CP100" s="51"/>
    </row>
    <row r="101" spans="20:94" s="49" customFormat="1" ht="13" customHeight="1">
      <c r="T101" s="51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51"/>
      <c r="AQ101" s="51"/>
      <c r="AR101" s="51"/>
      <c r="AS101" s="51"/>
      <c r="AT101" s="51"/>
      <c r="AU101" s="51"/>
      <c r="AV101" s="51"/>
      <c r="AW101" s="51"/>
      <c r="AX101" s="51"/>
      <c r="AY101" s="51"/>
      <c r="AZ101" s="51"/>
      <c r="BA101" s="51"/>
      <c r="BB101" s="51"/>
      <c r="BC101" s="51"/>
      <c r="BD101" s="51"/>
      <c r="BE101" s="51"/>
      <c r="BF101" s="51"/>
      <c r="BG101" s="51"/>
      <c r="BH101" s="51"/>
      <c r="BI101" s="51"/>
      <c r="BJ101" s="51"/>
      <c r="BK101" s="51"/>
      <c r="BL101" s="51"/>
      <c r="BM101" s="51"/>
      <c r="BN101" s="51"/>
      <c r="BO101" s="51"/>
      <c r="BP101" s="51"/>
      <c r="BQ101" s="51"/>
      <c r="BR101" s="51"/>
      <c r="BS101" s="51"/>
      <c r="BT101" s="51"/>
      <c r="BU101" s="51"/>
      <c r="BV101" s="51"/>
      <c r="BW101" s="51"/>
      <c r="BX101" s="51"/>
      <c r="BY101" s="51"/>
      <c r="BZ101" s="51"/>
      <c r="CA101" s="51"/>
      <c r="CB101" s="51"/>
      <c r="CC101" s="51"/>
      <c r="CD101" s="51"/>
      <c r="CE101" s="51"/>
      <c r="CF101" s="51"/>
      <c r="CG101" s="51"/>
      <c r="CH101" s="51"/>
      <c r="CI101" s="51"/>
      <c r="CJ101" s="51"/>
      <c r="CK101" s="51"/>
      <c r="CL101" s="51"/>
      <c r="CM101" s="51"/>
      <c r="CN101" s="51"/>
      <c r="CO101" s="51"/>
      <c r="CP101" s="51"/>
    </row>
    <row r="102" spans="20:94" s="49" customFormat="1" ht="13" customHeight="1"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51"/>
      <c r="AX102" s="51"/>
      <c r="AY102" s="51"/>
      <c r="AZ102" s="51"/>
      <c r="BA102" s="51"/>
      <c r="BB102" s="51"/>
      <c r="BC102" s="51"/>
      <c r="BD102" s="51"/>
      <c r="BE102" s="51"/>
      <c r="BF102" s="51"/>
      <c r="BG102" s="51"/>
      <c r="BH102" s="51"/>
      <c r="BI102" s="51"/>
      <c r="BJ102" s="51"/>
      <c r="BK102" s="51"/>
      <c r="BL102" s="51"/>
      <c r="BM102" s="51"/>
      <c r="BN102" s="51"/>
      <c r="BO102" s="51"/>
      <c r="BP102" s="51"/>
      <c r="BQ102" s="51"/>
      <c r="BR102" s="51"/>
      <c r="BS102" s="51"/>
      <c r="BT102" s="51"/>
      <c r="BU102" s="51"/>
      <c r="BV102" s="51"/>
      <c r="BW102" s="51"/>
      <c r="BX102" s="51"/>
      <c r="BY102" s="51"/>
      <c r="BZ102" s="51"/>
      <c r="CA102" s="51"/>
      <c r="CB102" s="51"/>
      <c r="CC102" s="51"/>
      <c r="CD102" s="51"/>
      <c r="CE102" s="51"/>
      <c r="CF102" s="51"/>
      <c r="CG102" s="51"/>
      <c r="CH102" s="51"/>
      <c r="CI102" s="51"/>
      <c r="CJ102" s="51"/>
      <c r="CK102" s="51"/>
      <c r="CL102" s="51"/>
      <c r="CM102" s="51"/>
      <c r="CN102" s="51"/>
      <c r="CO102" s="51"/>
      <c r="CP102" s="51"/>
    </row>
    <row r="103" spans="20:94" s="49" customFormat="1" ht="13" customHeight="1">
      <c r="T103" s="51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51"/>
      <c r="AQ103" s="51"/>
      <c r="AR103" s="51"/>
      <c r="AS103" s="51"/>
      <c r="AT103" s="51"/>
      <c r="AU103" s="51"/>
      <c r="AV103" s="51"/>
      <c r="AW103" s="51"/>
      <c r="AX103" s="51"/>
      <c r="AY103" s="51"/>
      <c r="AZ103" s="51"/>
      <c r="BA103" s="51"/>
      <c r="BB103" s="51"/>
      <c r="BC103" s="51"/>
      <c r="BD103" s="51"/>
      <c r="BE103" s="51"/>
      <c r="BF103" s="51"/>
      <c r="BG103" s="51"/>
      <c r="BH103" s="51"/>
      <c r="BI103" s="51"/>
      <c r="BJ103" s="51"/>
      <c r="BK103" s="51"/>
      <c r="BL103" s="51"/>
      <c r="BM103" s="51"/>
      <c r="BN103" s="51"/>
      <c r="BO103" s="51"/>
      <c r="BP103" s="51"/>
      <c r="BQ103" s="51"/>
      <c r="BR103" s="51"/>
      <c r="BS103" s="51"/>
      <c r="BT103" s="51"/>
      <c r="BU103" s="51"/>
      <c r="BV103" s="51"/>
      <c r="BW103" s="51"/>
      <c r="BX103" s="51"/>
      <c r="BY103" s="51"/>
      <c r="BZ103" s="51"/>
      <c r="CA103" s="51"/>
      <c r="CB103" s="51"/>
      <c r="CC103" s="51"/>
      <c r="CD103" s="51"/>
      <c r="CE103" s="51"/>
      <c r="CF103" s="51"/>
      <c r="CG103" s="51"/>
      <c r="CH103" s="51"/>
      <c r="CI103" s="51"/>
      <c r="CJ103" s="51"/>
      <c r="CK103" s="51"/>
      <c r="CL103" s="51"/>
      <c r="CM103" s="51"/>
      <c r="CN103" s="51"/>
      <c r="CO103" s="51"/>
      <c r="CP103" s="51"/>
    </row>
    <row r="104" spans="20:94" s="49" customFormat="1" ht="13" customHeight="1"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51"/>
      <c r="AQ104" s="51"/>
      <c r="AR104" s="51"/>
      <c r="AS104" s="51"/>
      <c r="AT104" s="51"/>
      <c r="AU104" s="51"/>
      <c r="AV104" s="51"/>
      <c r="AW104" s="51"/>
      <c r="AX104" s="51"/>
      <c r="AY104" s="51"/>
      <c r="AZ104" s="51"/>
      <c r="BA104" s="51"/>
      <c r="BB104" s="51"/>
      <c r="BC104" s="51"/>
      <c r="BD104" s="51"/>
      <c r="BE104" s="51"/>
      <c r="BF104" s="51"/>
      <c r="BG104" s="51"/>
      <c r="BH104" s="51"/>
      <c r="BI104" s="51"/>
      <c r="BJ104" s="51"/>
      <c r="BK104" s="51"/>
      <c r="BL104" s="51"/>
      <c r="BM104" s="51"/>
      <c r="BN104" s="51"/>
      <c r="BO104" s="51"/>
      <c r="BP104" s="51"/>
      <c r="BQ104" s="51"/>
      <c r="BR104" s="51"/>
      <c r="BS104" s="51"/>
      <c r="BT104" s="51"/>
      <c r="BU104" s="51"/>
      <c r="BV104" s="51"/>
      <c r="BW104" s="51"/>
      <c r="BX104" s="51"/>
      <c r="BY104" s="51"/>
      <c r="BZ104" s="51"/>
      <c r="CA104" s="51"/>
      <c r="CB104" s="51"/>
      <c r="CC104" s="51"/>
      <c r="CD104" s="51"/>
      <c r="CE104" s="51"/>
      <c r="CF104" s="51"/>
      <c r="CG104" s="51"/>
      <c r="CH104" s="51"/>
      <c r="CI104" s="51"/>
      <c r="CJ104" s="51"/>
      <c r="CK104" s="51"/>
      <c r="CL104" s="51"/>
      <c r="CM104" s="51"/>
      <c r="CN104" s="51"/>
      <c r="CO104" s="51"/>
      <c r="CP104" s="51"/>
    </row>
    <row r="105" spans="20:94" s="49" customFormat="1" ht="13" customHeight="1"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51"/>
      <c r="AQ105" s="51"/>
      <c r="AR105" s="51"/>
      <c r="AS105" s="51"/>
      <c r="AT105" s="51"/>
      <c r="AU105" s="51"/>
      <c r="AV105" s="51"/>
      <c r="AW105" s="51"/>
      <c r="AX105" s="51"/>
      <c r="AY105" s="51"/>
      <c r="AZ105" s="51"/>
      <c r="BA105" s="51"/>
      <c r="BB105" s="51"/>
      <c r="BC105" s="51"/>
      <c r="BD105" s="51"/>
      <c r="BE105" s="51"/>
      <c r="BF105" s="51"/>
      <c r="BG105" s="51"/>
      <c r="BH105" s="51"/>
      <c r="BI105" s="51"/>
      <c r="BJ105" s="51"/>
      <c r="BK105" s="51"/>
      <c r="BL105" s="51"/>
      <c r="BM105" s="51"/>
      <c r="BN105" s="51"/>
      <c r="BO105" s="51"/>
      <c r="BP105" s="51"/>
      <c r="BQ105" s="51"/>
      <c r="BR105" s="51"/>
      <c r="BS105" s="51"/>
      <c r="BT105" s="51"/>
      <c r="BU105" s="51"/>
      <c r="BV105" s="51"/>
      <c r="BW105" s="51"/>
      <c r="BX105" s="51"/>
      <c r="BY105" s="51"/>
      <c r="BZ105" s="51"/>
      <c r="CA105" s="51"/>
      <c r="CB105" s="51"/>
      <c r="CC105" s="51"/>
      <c r="CD105" s="51"/>
      <c r="CE105" s="51"/>
      <c r="CF105" s="51"/>
      <c r="CG105" s="51"/>
      <c r="CH105" s="51"/>
      <c r="CI105" s="51"/>
      <c r="CJ105" s="51"/>
      <c r="CK105" s="51"/>
      <c r="CL105" s="51"/>
      <c r="CM105" s="51"/>
      <c r="CN105" s="51"/>
      <c r="CO105" s="51"/>
      <c r="CP105" s="51"/>
    </row>
    <row r="106" spans="20:94" s="49" customFormat="1" ht="13" customHeight="1"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51"/>
      <c r="AQ106" s="51"/>
      <c r="AR106" s="51"/>
      <c r="AS106" s="51"/>
      <c r="AT106" s="51"/>
      <c r="AU106" s="51"/>
      <c r="AV106" s="51"/>
      <c r="AW106" s="51"/>
      <c r="AX106" s="51"/>
      <c r="AY106" s="51"/>
      <c r="AZ106" s="51"/>
      <c r="BA106" s="51"/>
      <c r="BB106" s="51"/>
      <c r="BC106" s="51"/>
      <c r="BD106" s="51"/>
      <c r="BE106" s="51"/>
      <c r="BF106" s="51"/>
      <c r="BG106" s="51"/>
      <c r="BH106" s="51"/>
      <c r="BI106" s="51"/>
      <c r="BJ106" s="51"/>
      <c r="BK106" s="51"/>
      <c r="BL106" s="51"/>
      <c r="BM106" s="51"/>
      <c r="BN106" s="51"/>
      <c r="BO106" s="51"/>
      <c r="BP106" s="51"/>
      <c r="BQ106" s="51"/>
      <c r="BR106" s="51"/>
      <c r="BS106" s="51"/>
      <c r="BT106" s="51"/>
      <c r="BU106" s="51"/>
      <c r="BV106" s="51"/>
      <c r="BW106" s="51"/>
      <c r="BX106" s="51"/>
      <c r="BY106" s="51"/>
      <c r="BZ106" s="51"/>
      <c r="CA106" s="51"/>
      <c r="CB106" s="51"/>
      <c r="CC106" s="51"/>
      <c r="CD106" s="51"/>
      <c r="CE106" s="51"/>
      <c r="CF106" s="51"/>
      <c r="CG106" s="51"/>
      <c r="CH106" s="51"/>
      <c r="CI106" s="51"/>
      <c r="CJ106" s="51"/>
      <c r="CK106" s="51"/>
      <c r="CL106" s="51"/>
      <c r="CM106" s="51"/>
      <c r="CN106" s="51"/>
      <c r="CO106" s="51"/>
      <c r="CP106" s="51"/>
    </row>
    <row r="107" spans="20:94" s="49" customFormat="1" ht="13" customHeight="1">
      <c r="T107" s="51"/>
      <c r="U107" s="51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51"/>
      <c r="AQ107" s="51"/>
      <c r="AR107" s="51"/>
      <c r="AS107" s="51"/>
      <c r="AT107" s="51"/>
      <c r="AU107" s="51"/>
      <c r="AV107" s="51"/>
      <c r="AW107" s="51"/>
      <c r="AX107" s="51"/>
      <c r="AY107" s="51"/>
      <c r="AZ107" s="51"/>
      <c r="BA107" s="51"/>
      <c r="BB107" s="51"/>
      <c r="BC107" s="51"/>
      <c r="BD107" s="51"/>
      <c r="BE107" s="51"/>
      <c r="BF107" s="51"/>
      <c r="BG107" s="51"/>
      <c r="BH107" s="51"/>
      <c r="BI107" s="51"/>
      <c r="BJ107" s="51"/>
      <c r="BK107" s="51"/>
      <c r="BL107" s="51"/>
      <c r="BM107" s="51"/>
      <c r="BN107" s="51"/>
      <c r="BO107" s="51"/>
      <c r="BP107" s="51"/>
      <c r="BQ107" s="51"/>
      <c r="BR107" s="51"/>
      <c r="BS107" s="51"/>
      <c r="BT107" s="51"/>
      <c r="BU107" s="51"/>
      <c r="BV107" s="51"/>
      <c r="BW107" s="51"/>
      <c r="BX107" s="51"/>
      <c r="BY107" s="51"/>
      <c r="BZ107" s="51"/>
      <c r="CA107" s="51"/>
      <c r="CB107" s="51"/>
      <c r="CC107" s="51"/>
      <c r="CD107" s="51"/>
      <c r="CE107" s="51"/>
      <c r="CF107" s="51"/>
      <c r="CG107" s="51"/>
      <c r="CH107" s="51"/>
      <c r="CI107" s="51"/>
      <c r="CJ107" s="51"/>
      <c r="CK107" s="51"/>
      <c r="CL107" s="51"/>
      <c r="CM107" s="51"/>
      <c r="CN107" s="51"/>
      <c r="CO107" s="51"/>
      <c r="CP107" s="51"/>
    </row>
    <row r="108" spans="20:94" s="49" customFormat="1" ht="13" customHeight="1">
      <c r="T108" s="51"/>
      <c r="U108" s="51"/>
      <c r="V108" s="51"/>
      <c r="W108" s="51"/>
      <c r="X108" s="51"/>
      <c r="Y108" s="51"/>
      <c r="Z108" s="5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51"/>
      <c r="AQ108" s="51"/>
      <c r="AR108" s="51"/>
      <c r="AS108" s="51"/>
      <c r="AT108" s="51"/>
      <c r="AU108" s="51"/>
      <c r="AV108" s="51"/>
      <c r="AW108" s="51"/>
      <c r="AX108" s="51"/>
      <c r="AY108" s="51"/>
      <c r="AZ108" s="51"/>
      <c r="BA108" s="51"/>
      <c r="BB108" s="51"/>
      <c r="BC108" s="51"/>
      <c r="BD108" s="51"/>
      <c r="BE108" s="51"/>
      <c r="BF108" s="51"/>
      <c r="BG108" s="51"/>
      <c r="BH108" s="51"/>
      <c r="BI108" s="51"/>
      <c r="BJ108" s="51"/>
      <c r="BK108" s="51"/>
      <c r="BL108" s="51"/>
      <c r="BM108" s="51"/>
      <c r="BN108" s="51"/>
      <c r="BO108" s="51"/>
      <c r="BP108" s="51"/>
      <c r="BQ108" s="51"/>
      <c r="BR108" s="51"/>
      <c r="BS108" s="51"/>
      <c r="BT108" s="51"/>
      <c r="BU108" s="51"/>
      <c r="BV108" s="51"/>
      <c r="BW108" s="51"/>
      <c r="BX108" s="51"/>
      <c r="BY108" s="51"/>
      <c r="BZ108" s="51"/>
      <c r="CA108" s="51"/>
      <c r="CB108" s="51"/>
      <c r="CC108" s="51"/>
      <c r="CD108" s="51"/>
      <c r="CE108" s="51"/>
      <c r="CF108" s="51"/>
      <c r="CG108" s="51"/>
      <c r="CH108" s="51"/>
      <c r="CI108" s="51"/>
      <c r="CJ108" s="51"/>
      <c r="CK108" s="51"/>
      <c r="CL108" s="51"/>
      <c r="CM108" s="51"/>
      <c r="CN108" s="51"/>
      <c r="CO108" s="51"/>
      <c r="CP108" s="51"/>
    </row>
    <row r="109" spans="20:94" s="49" customFormat="1" ht="13" customHeight="1">
      <c r="T109" s="51"/>
      <c r="U109" s="51"/>
      <c r="V109" s="51"/>
      <c r="W109" s="51"/>
      <c r="X109" s="51"/>
      <c r="Y109" s="51"/>
      <c r="Z109" s="5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51"/>
      <c r="AQ109" s="51"/>
      <c r="AR109" s="51"/>
      <c r="AS109" s="51"/>
      <c r="AT109" s="51"/>
      <c r="AU109" s="51"/>
      <c r="AV109" s="51"/>
      <c r="AW109" s="51"/>
      <c r="AX109" s="51"/>
      <c r="AY109" s="51"/>
      <c r="AZ109" s="51"/>
      <c r="BA109" s="51"/>
      <c r="BB109" s="51"/>
      <c r="BC109" s="51"/>
      <c r="BD109" s="51"/>
      <c r="BE109" s="51"/>
      <c r="BF109" s="51"/>
      <c r="BG109" s="51"/>
      <c r="BH109" s="51"/>
      <c r="BI109" s="51"/>
      <c r="BJ109" s="51"/>
      <c r="BK109" s="51"/>
      <c r="BL109" s="51"/>
      <c r="BM109" s="51"/>
      <c r="BN109" s="51"/>
      <c r="BO109" s="51"/>
      <c r="BP109" s="51"/>
      <c r="BQ109" s="51"/>
      <c r="BR109" s="51"/>
      <c r="BS109" s="51"/>
      <c r="BT109" s="51"/>
      <c r="BU109" s="51"/>
      <c r="BV109" s="51"/>
      <c r="BW109" s="51"/>
      <c r="BX109" s="51"/>
      <c r="BY109" s="51"/>
      <c r="BZ109" s="51"/>
      <c r="CA109" s="51"/>
      <c r="CB109" s="51"/>
      <c r="CC109" s="51"/>
      <c r="CD109" s="51"/>
      <c r="CE109" s="51"/>
      <c r="CF109" s="51"/>
      <c r="CG109" s="51"/>
      <c r="CH109" s="51"/>
      <c r="CI109" s="51"/>
      <c r="CJ109" s="51"/>
      <c r="CK109" s="51"/>
      <c r="CL109" s="51"/>
      <c r="CM109" s="51"/>
      <c r="CN109" s="51"/>
      <c r="CO109" s="51"/>
      <c r="CP109" s="51"/>
    </row>
    <row r="110" spans="20:94" s="49" customFormat="1" ht="13" customHeight="1">
      <c r="T110" s="51"/>
      <c r="U110" s="51"/>
      <c r="V110" s="51"/>
      <c r="W110" s="51"/>
      <c r="X110" s="51"/>
      <c r="Y110" s="51"/>
      <c r="Z110" s="5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51"/>
      <c r="AQ110" s="51"/>
      <c r="AR110" s="51"/>
      <c r="AS110" s="51"/>
      <c r="AT110" s="51"/>
      <c r="AU110" s="51"/>
      <c r="AV110" s="51"/>
      <c r="AW110" s="51"/>
      <c r="AX110" s="51"/>
      <c r="AY110" s="51"/>
      <c r="AZ110" s="51"/>
      <c r="BA110" s="51"/>
      <c r="BB110" s="51"/>
      <c r="BC110" s="51"/>
      <c r="BD110" s="51"/>
      <c r="BE110" s="51"/>
      <c r="BF110" s="51"/>
      <c r="BG110" s="51"/>
      <c r="BH110" s="51"/>
      <c r="BI110" s="51"/>
      <c r="BJ110" s="51"/>
      <c r="BK110" s="51"/>
      <c r="BL110" s="51"/>
      <c r="BM110" s="51"/>
      <c r="BN110" s="51"/>
      <c r="BO110" s="51"/>
      <c r="BP110" s="51"/>
      <c r="BQ110" s="51"/>
      <c r="BR110" s="51"/>
      <c r="BS110" s="51"/>
      <c r="BT110" s="51"/>
      <c r="BU110" s="51"/>
      <c r="BV110" s="51"/>
      <c r="BW110" s="51"/>
      <c r="BX110" s="51"/>
      <c r="BY110" s="51"/>
      <c r="BZ110" s="51"/>
      <c r="CA110" s="51"/>
      <c r="CB110" s="51"/>
      <c r="CC110" s="51"/>
      <c r="CD110" s="51"/>
      <c r="CE110" s="51"/>
      <c r="CF110" s="51"/>
      <c r="CG110" s="51"/>
      <c r="CH110" s="51"/>
      <c r="CI110" s="51"/>
      <c r="CJ110" s="51"/>
      <c r="CK110" s="51"/>
      <c r="CL110" s="51"/>
      <c r="CM110" s="51"/>
      <c r="CN110" s="51"/>
      <c r="CO110" s="51"/>
      <c r="CP110" s="51"/>
    </row>
    <row r="111" spans="20:94" s="49" customFormat="1" ht="13" customHeight="1">
      <c r="T111" s="51"/>
      <c r="U111" s="51"/>
      <c r="V111" s="51"/>
      <c r="W111" s="51"/>
      <c r="X111" s="51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51"/>
      <c r="AQ111" s="51"/>
      <c r="AR111" s="51"/>
      <c r="AS111" s="51"/>
      <c r="AT111" s="51"/>
      <c r="AU111" s="51"/>
      <c r="AV111" s="51"/>
      <c r="AW111" s="51"/>
      <c r="AX111" s="51"/>
      <c r="AY111" s="51"/>
      <c r="AZ111" s="51"/>
      <c r="BA111" s="51"/>
      <c r="BB111" s="51"/>
      <c r="BC111" s="51"/>
      <c r="BD111" s="51"/>
      <c r="BE111" s="51"/>
      <c r="BF111" s="51"/>
      <c r="BG111" s="51"/>
      <c r="BH111" s="51"/>
      <c r="BI111" s="51"/>
      <c r="BJ111" s="51"/>
      <c r="BK111" s="51"/>
      <c r="BL111" s="51"/>
      <c r="BM111" s="51"/>
      <c r="BN111" s="51"/>
      <c r="BO111" s="51"/>
      <c r="BP111" s="51"/>
      <c r="BQ111" s="51"/>
      <c r="BR111" s="51"/>
      <c r="BS111" s="51"/>
      <c r="BT111" s="51"/>
      <c r="BU111" s="51"/>
      <c r="BV111" s="51"/>
      <c r="BW111" s="51"/>
      <c r="BX111" s="51"/>
      <c r="BY111" s="51"/>
      <c r="BZ111" s="51"/>
      <c r="CA111" s="51"/>
      <c r="CB111" s="51"/>
      <c r="CC111" s="51"/>
      <c r="CD111" s="51"/>
      <c r="CE111" s="51"/>
      <c r="CF111" s="51"/>
      <c r="CG111" s="51"/>
      <c r="CH111" s="51"/>
      <c r="CI111" s="51"/>
      <c r="CJ111" s="51"/>
      <c r="CK111" s="51"/>
      <c r="CL111" s="51"/>
      <c r="CM111" s="51"/>
      <c r="CN111" s="51"/>
      <c r="CO111" s="51"/>
      <c r="CP111" s="51"/>
    </row>
    <row r="112" spans="20:94" s="49" customFormat="1" ht="13" customHeight="1"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51"/>
      <c r="AQ112" s="51"/>
      <c r="AR112" s="51"/>
      <c r="AS112" s="51"/>
      <c r="AT112" s="51"/>
      <c r="AU112" s="51"/>
      <c r="AV112" s="51"/>
      <c r="AW112" s="51"/>
      <c r="AX112" s="51"/>
      <c r="AY112" s="51"/>
      <c r="AZ112" s="51"/>
      <c r="BA112" s="51"/>
      <c r="BB112" s="51"/>
      <c r="BC112" s="51"/>
      <c r="BD112" s="51"/>
      <c r="BE112" s="51"/>
      <c r="BF112" s="51"/>
      <c r="BG112" s="51"/>
      <c r="BH112" s="51"/>
      <c r="BI112" s="51"/>
      <c r="BJ112" s="51"/>
      <c r="BK112" s="51"/>
      <c r="BL112" s="51"/>
      <c r="BM112" s="51"/>
      <c r="BN112" s="51"/>
      <c r="BO112" s="51"/>
      <c r="BP112" s="51"/>
      <c r="BQ112" s="51"/>
      <c r="BR112" s="51"/>
      <c r="BS112" s="51"/>
      <c r="BT112" s="51"/>
      <c r="BU112" s="51"/>
      <c r="BV112" s="51"/>
      <c r="BW112" s="51"/>
      <c r="BX112" s="51"/>
      <c r="BY112" s="51"/>
      <c r="BZ112" s="51"/>
      <c r="CA112" s="51"/>
      <c r="CB112" s="51"/>
      <c r="CC112" s="51"/>
      <c r="CD112" s="51"/>
      <c r="CE112" s="51"/>
      <c r="CF112" s="51"/>
      <c r="CG112" s="51"/>
      <c r="CH112" s="51"/>
      <c r="CI112" s="51"/>
      <c r="CJ112" s="51"/>
      <c r="CK112" s="51"/>
      <c r="CL112" s="51"/>
      <c r="CM112" s="51"/>
      <c r="CN112" s="51"/>
      <c r="CO112" s="51"/>
      <c r="CP112" s="51"/>
    </row>
    <row r="113" spans="20:94" s="49" customFormat="1" ht="13" customHeight="1"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51"/>
      <c r="AQ113" s="51"/>
      <c r="AR113" s="51"/>
      <c r="AS113" s="51"/>
      <c r="AT113" s="51"/>
      <c r="AU113" s="51"/>
      <c r="AV113" s="51"/>
      <c r="AW113" s="51"/>
      <c r="AX113" s="51"/>
      <c r="AY113" s="51"/>
      <c r="AZ113" s="51"/>
      <c r="BA113" s="51"/>
      <c r="BB113" s="51"/>
      <c r="BC113" s="51"/>
      <c r="BD113" s="51"/>
      <c r="BE113" s="51"/>
      <c r="BF113" s="51"/>
      <c r="BG113" s="51"/>
      <c r="BH113" s="51"/>
      <c r="BI113" s="51"/>
      <c r="BJ113" s="51"/>
      <c r="BK113" s="51"/>
      <c r="BL113" s="51"/>
      <c r="BM113" s="51"/>
      <c r="BN113" s="51"/>
      <c r="BO113" s="51"/>
      <c r="BP113" s="51"/>
      <c r="BQ113" s="51"/>
      <c r="BR113" s="51"/>
      <c r="BS113" s="51"/>
      <c r="BT113" s="51"/>
      <c r="BU113" s="51"/>
      <c r="BV113" s="51"/>
      <c r="BW113" s="51"/>
      <c r="BX113" s="51"/>
      <c r="BY113" s="51"/>
      <c r="BZ113" s="51"/>
      <c r="CA113" s="51"/>
      <c r="CB113" s="51"/>
      <c r="CC113" s="51"/>
      <c r="CD113" s="51"/>
      <c r="CE113" s="51"/>
      <c r="CF113" s="51"/>
      <c r="CG113" s="51"/>
      <c r="CH113" s="51"/>
      <c r="CI113" s="51"/>
      <c r="CJ113" s="51"/>
      <c r="CK113" s="51"/>
      <c r="CL113" s="51"/>
      <c r="CM113" s="51"/>
      <c r="CN113" s="51"/>
      <c r="CO113" s="51"/>
      <c r="CP113" s="51"/>
    </row>
    <row r="114" spans="20:94" s="49" customFormat="1" ht="13" customHeight="1"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 s="51"/>
      <c r="AW114" s="51"/>
      <c r="AX114" s="51"/>
      <c r="AY114" s="51"/>
      <c r="AZ114" s="51"/>
      <c r="BA114" s="51"/>
      <c r="BB114" s="51"/>
      <c r="BC114" s="51"/>
      <c r="BD114" s="51"/>
      <c r="BE114" s="51"/>
      <c r="BF114" s="51"/>
      <c r="BG114" s="51"/>
      <c r="BH114" s="51"/>
      <c r="BI114" s="51"/>
      <c r="BJ114" s="51"/>
      <c r="BK114" s="51"/>
      <c r="BL114" s="51"/>
      <c r="BM114" s="51"/>
      <c r="BN114" s="51"/>
      <c r="BO114" s="51"/>
      <c r="BP114" s="51"/>
      <c r="BQ114" s="51"/>
      <c r="BR114" s="51"/>
      <c r="BS114" s="51"/>
      <c r="BT114" s="51"/>
      <c r="BU114" s="51"/>
      <c r="BV114" s="51"/>
      <c r="BW114" s="51"/>
      <c r="BX114" s="51"/>
      <c r="BY114" s="51"/>
      <c r="BZ114" s="51"/>
      <c r="CA114" s="51"/>
      <c r="CB114" s="51"/>
      <c r="CC114" s="51"/>
      <c r="CD114" s="51"/>
      <c r="CE114" s="51"/>
      <c r="CF114" s="51"/>
      <c r="CG114" s="51"/>
      <c r="CH114" s="51"/>
      <c r="CI114" s="51"/>
      <c r="CJ114" s="51"/>
      <c r="CK114" s="51"/>
      <c r="CL114" s="51"/>
      <c r="CM114" s="51"/>
      <c r="CN114" s="51"/>
      <c r="CO114" s="51"/>
      <c r="CP114" s="51"/>
    </row>
    <row r="115" spans="20:94" s="49" customFormat="1" ht="13" customHeight="1"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51"/>
      <c r="BB115" s="51"/>
      <c r="BC115" s="51"/>
      <c r="BD115" s="51"/>
      <c r="BE115" s="51"/>
      <c r="BF115" s="51"/>
      <c r="BG115" s="51"/>
      <c r="BH115" s="51"/>
      <c r="BI115" s="51"/>
      <c r="BJ115" s="51"/>
      <c r="BK115" s="51"/>
      <c r="BL115" s="51"/>
      <c r="BM115" s="51"/>
      <c r="BN115" s="51"/>
      <c r="BO115" s="51"/>
      <c r="BP115" s="51"/>
      <c r="BQ115" s="51"/>
      <c r="BR115" s="51"/>
      <c r="BS115" s="51"/>
      <c r="BT115" s="51"/>
      <c r="BU115" s="51"/>
      <c r="BV115" s="51"/>
      <c r="BW115" s="51"/>
      <c r="BX115" s="51"/>
      <c r="BY115" s="51"/>
      <c r="BZ115" s="51"/>
      <c r="CA115" s="51"/>
      <c r="CB115" s="51"/>
      <c r="CC115" s="51"/>
      <c r="CD115" s="51"/>
      <c r="CE115" s="51"/>
      <c r="CF115" s="51"/>
      <c r="CG115" s="51"/>
      <c r="CH115" s="51"/>
      <c r="CI115" s="51"/>
      <c r="CJ115" s="51"/>
      <c r="CK115" s="51"/>
      <c r="CL115" s="51"/>
      <c r="CM115" s="51"/>
      <c r="CN115" s="51"/>
      <c r="CO115" s="51"/>
      <c r="CP115" s="51"/>
    </row>
    <row r="116" spans="20:94" s="49" customFormat="1" ht="13" customHeight="1"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51"/>
      <c r="AQ116" s="51"/>
      <c r="AR116" s="51"/>
      <c r="AS116" s="51"/>
      <c r="AT116" s="51"/>
      <c r="AU116" s="51"/>
      <c r="AV116" s="51"/>
      <c r="AW116" s="51"/>
      <c r="AX116" s="51"/>
      <c r="AY116" s="51"/>
      <c r="AZ116" s="51"/>
      <c r="BA116" s="51"/>
      <c r="BB116" s="51"/>
      <c r="BC116" s="51"/>
      <c r="BD116" s="51"/>
      <c r="BE116" s="51"/>
      <c r="BF116" s="51"/>
      <c r="BG116" s="51"/>
      <c r="BH116" s="51"/>
      <c r="BI116" s="51"/>
      <c r="BJ116" s="51"/>
      <c r="BK116" s="51"/>
      <c r="BL116" s="51"/>
      <c r="BM116" s="51"/>
      <c r="BN116" s="51"/>
      <c r="BO116" s="51"/>
      <c r="BP116" s="51"/>
      <c r="BQ116" s="51"/>
      <c r="BR116" s="51"/>
      <c r="BS116" s="51"/>
      <c r="BT116" s="51"/>
      <c r="BU116" s="51"/>
      <c r="BV116" s="51"/>
      <c r="BW116" s="51"/>
      <c r="BX116" s="51"/>
      <c r="BY116" s="51"/>
      <c r="BZ116" s="51"/>
      <c r="CA116" s="51"/>
      <c r="CB116" s="51"/>
      <c r="CC116" s="51"/>
      <c r="CD116" s="51"/>
      <c r="CE116" s="51"/>
      <c r="CF116" s="51"/>
      <c r="CG116" s="51"/>
      <c r="CH116" s="51"/>
      <c r="CI116" s="51"/>
      <c r="CJ116" s="51"/>
      <c r="CK116" s="51"/>
      <c r="CL116" s="51"/>
      <c r="CM116" s="51"/>
      <c r="CN116" s="51"/>
      <c r="CO116" s="51"/>
      <c r="CP116" s="51"/>
    </row>
    <row r="117" spans="20:94" s="49" customFormat="1" ht="13" customHeight="1"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51"/>
      <c r="AQ117" s="51"/>
      <c r="AR117" s="51"/>
      <c r="AS117" s="51"/>
      <c r="AT117" s="51"/>
      <c r="AU117" s="51"/>
      <c r="AV117" s="51"/>
      <c r="AW117" s="51"/>
      <c r="AX117" s="51"/>
      <c r="AY117" s="51"/>
      <c r="AZ117" s="51"/>
      <c r="BA117" s="51"/>
      <c r="BB117" s="51"/>
      <c r="BC117" s="51"/>
      <c r="BD117" s="51"/>
      <c r="BE117" s="51"/>
      <c r="BF117" s="51"/>
      <c r="BG117" s="51"/>
      <c r="BH117" s="51"/>
      <c r="BI117" s="51"/>
      <c r="BJ117" s="51"/>
      <c r="BK117" s="51"/>
      <c r="BL117" s="51"/>
      <c r="BM117" s="51"/>
      <c r="BN117" s="51"/>
      <c r="BO117" s="51"/>
      <c r="BP117" s="51"/>
      <c r="BQ117" s="51"/>
      <c r="BR117" s="51"/>
      <c r="BS117" s="51"/>
      <c r="BT117" s="51"/>
      <c r="BU117" s="51"/>
      <c r="BV117" s="51"/>
      <c r="BW117" s="51"/>
      <c r="BX117" s="51"/>
      <c r="BY117" s="51"/>
      <c r="BZ117" s="51"/>
      <c r="CA117" s="51"/>
      <c r="CB117" s="51"/>
      <c r="CC117" s="51"/>
      <c r="CD117" s="51"/>
      <c r="CE117" s="51"/>
      <c r="CF117" s="51"/>
      <c r="CG117" s="51"/>
      <c r="CH117" s="51"/>
      <c r="CI117" s="51"/>
      <c r="CJ117" s="51"/>
      <c r="CK117" s="51"/>
      <c r="CL117" s="51"/>
      <c r="CM117" s="51"/>
      <c r="CN117" s="51"/>
      <c r="CO117" s="51"/>
      <c r="CP117" s="51"/>
    </row>
    <row r="118" spans="20:94" s="49" customFormat="1" ht="13" customHeight="1">
      <c r="T118" s="51"/>
      <c r="U118" s="51"/>
      <c r="V118" s="51"/>
      <c r="W118" s="51"/>
      <c r="X118" s="51"/>
      <c r="Y118" s="51"/>
      <c r="Z118" s="5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51"/>
      <c r="AQ118" s="51"/>
      <c r="AR118" s="51"/>
      <c r="AS118" s="51"/>
      <c r="AT118" s="51"/>
      <c r="AU118" s="51"/>
      <c r="AV118" s="51"/>
      <c r="AW118" s="51"/>
      <c r="AX118" s="51"/>
      <c r="AY118" s="51"/>
      <c r="AZ118" s="51"/>
      <c r="BA118" s="51"/>
      <c r="BB118" s="51"/>
      <c r="BC118" s="51"/>
      <c r="BD118" s="51"/>
      <c r="BE118" s="51"/>
      <c r="BF118" s="51"/>
      <c r="BG118" s="51"/>
      <c r="BH118" s="51"/>
      <c r="BI118" s="51"/>
      <c r="BJ118" s="51"/>
      <c r="BK118" s="51"/>
      <c r="BL118" s="51"/>
      <c r="BM118" s="51"/>
      <c r="BN118" s="51"/>
      <c r="BO118" s="51"/>
      <c r="BP118" s="51"/>
      <c r="BQ118" s="51"/>
      <c r="BR118" s="51"/>
      <c r="BS118" s="51"/>
      <c r="BT118" s="51"/>
      <c r="BU118" s="51"/>
      <c r="BV118" s="51"/>
      <c r="BW118" s="51"/>
      <c r="BX118" s="51"/>
      <c r="BY118" s="51"/>
      <c r="BZ118" s="51"/>
      <c r="CA118" s="51"/>
      <c r="CB118" s="51"/>
      <c r="CC118" s="51"/>
      <c r="CD118" s="51"/>
      <c r="CE118" s="51"/>
      <c r="CF118" s="51"/>
      <c r="CG118" s="51"/>
      <c r="CH118" s="51"/>
      <c r="CI118" s="51"/>
      <c r="CJ118" s="51"/>
      <c r="CK118" s="51"/>
      <c r="CL118" s="51"/>
      <c r="CM118" s="51"/>
      <c r="CN118" s="51"/>
      <c r="CO118" s="51"/>
      <c r="CP118" s="51"/>
    </row>
    <row r="119" spans="20:94" s="49" customFormat="1" ht="13" customHeight="1">
      <c r="T119" s="51"/>
      <c r="U119" s="51"/>
      <c r="V119" s="51"/>
      <c r="W119" s="51"/>
      <c r="X119" s="51"/>
      <c r="Y119" s="51"/>
      <c r="Z119" s="5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51"/>
      <c r="AQ119" s="51"/>
      <c r="AR119" s="51"/>
      <c r="AS119" s="51"/>
      <c r="AT119" s="51"/>
      <c r="AU119" s="51"/>
      <c r="AV119" s="51"/>
      <c r="AW119" s="51"/>
      <c r="AX119" s="51"/>
      <c r="AY119" s="51"/>
      <c r="AZ119" s="51"/>
      <c r="BA119" s="51"/>
      <c r="BB119" s="51"/>
      <c r="BC119" s="51"/>
      <c r="BD119" s="51"/>
      <c r="BE119" s="51"/>
      <c r="BF119" s="51"/>
      <c r="BG119" s="51"/>
      <c r="BH119" s="51"/>
      <c r="BI119" s="51"/>
      <c r="BJ119" s="51"/>
      <c r="BK119" s="51"/>
      <c r="BL119" s="51"/>
      <c r="BM119" s="51"/>
      <c r="BN119" s="51"/>
      <c r="BO119" s="51"/>
      <c r="BP119" s="51"/>
      <c r="BQ119" s="51"/>
      <c r="BR119" s="51"/>
      <c r="BS119" s="51"/>
      <c r="BT119" s="51"/>
      <c r="BU119" s="51"/>
      <c r="BV119" s="51"/>
      <c r="BW119" s="51"/>
      <c r="BX119" s="51"/>
      <c r="BY119" s="51"/>
      <c r="BZ119" s="51"/>
      <c r="CA119" s="51"/>
      <c r="CB119" s="51"/>
      <c r="CC119" s="51"/>
      <c r="CD119" s="51"/>
      <c r="CE119" s="51"/>
      <c r="CF119" s="51"/>
      <c r="CG119" s="51"/>
      <c r="CH119" s="51"/>
      <c r="CI119" s="51"/>
      <c r="CJ119" s="51"/>
      <c r="CK119" s="51"/>
      <c r="CL119" s="51"/>
      <c r="CM119" s="51"/>
      <c r="CN119" s="51"/>
      <c r="CO119" s="51"/>
      <c r="CP119" s="51"/>
    </row>
    <row r="120" spans="20:94" s="49" customFormat="1" ht="13" customHeight="1">
      <c r="T120" s="51"/>
      <c r="U120" s="51"/>
      <c r="V120" s="51"/>
      <c r="W120" s="51"/>
      <c r="X120" s="51"/>
      <c r="Y120" s="51"/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1"/>
      <c r="AT120" s="51"/>
      <c r="AU120" s="51"/>
      <c r="AV120" s="51"/>
      <c r="AW120" s="51"/>
      <c r="AX120" s="51"/>
      <c r="AY120" s="51"/>
      <c r="AZ120" s="51"/>
      <c r="BA120" s="51"/>
      <c r="BB120" s="51"/>
      <c r="BC120" s="51"/>
      <c r="BD120" s="51"/>
      <c r="BE120" s="51"/>
      <c r="BF120" s="51"/>
      <c r="BG120" s="51"/>
      <c r="BH120" s="51"/>
      <c r="BI120" s="51"/>
      <c r="BJ120" s="51"/>
      <c r="BK120" s="51"/>
      <c r="BL120" s="51"/>
      <c r="BM120" s="51"/>
      <c r="BN120" s="51"/>
      <c r="BO120" s="51"/>
      <c r="BP120" s="51"/>
      <c r="BQ120" s="51"/>
      <c r="BR120" s="51"/>
      <c r="BS120" s="51"/>
      <c r="BT120" s="51"/>
      <c r="BU120" s="51"/>
      <c r="BV120" s="51"/>
      <c r="BW120" s="51"/>
      <c r="BX120" s="51"/>
      <c r="BY120" s="51"/>
      <c r="BZ120" s="51"/>
      <c r="CA120" s="51"/>
      <c r="CB120" s="51"/>
      <c r="CC120" s="51"/>
      <c r="CD120" s="51"/>
      <c r="CE120" s="51"/>
      <c r="CF120" s="51"/>
      <c r="CG120" s="51"/>
      <c r="CH120" s="51"/>
      <c r="CI120" s="51"/>
      <c r="CJ120" s="51"/>
      <c r="CK120" s="51"/>
      <c r="CL120" s="51"/>
      <c r="CM120" s="51"/>
      <c r="CN120" s="51"/>
      <c r="CO120" s="51"/>
      <c r="CP120" s="51"/>
    </row>
    <row r="121" spans="20:94" s="49" customFormat="1" ht="13" customHeight="1">
      <c r="T121" s="51"/>
      <c r="U121" s="51"/>
      <c r="V121" s="51"/>
      <c r="W121" s="51"/>
      <c r="X121" s="51"/>
      <c r="Y121" s="51"/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1"/>
      <c r="AT121" s="51"/>
      <c r="AU121" s="51"/>
      <c r="AV121" s="51"/>
      <c r="AW121" s="51"/>
      <c r="AX121" s="51"/>
      <c r="AY121" s="51"/>
      <c r="AZ121" s="51"/>
      <c r="BA121" s="51"/>
      <c r="BB121" s="51"/>
      <c r="BC121" s="51"/>
      <c r="BD121" s="51"/>
      <c r="BE121" s="51"/>
      <c r="BF121" s="51"/>
      <c r="BG121" s="51"/>
      <c r="BH121" s="51"/>
      <c r="BI121" s="51"/>
      <c r="BJ121" s="51"/>
      <c r="BK121" s="51"/>
      <c r="BL121" s="51"/>
      <c r="BM121" s="51"/>
      <c r="BN121" s="51"/>
      <c r="BO121" s="51"/>
      <c r="BP121" s="51"/>
      <c r="BQ121" s="51"/>
      <c r="BR121" s="51"/>
      <c r="BS121" s="51"/>
      <c r="BT121" s="51"/>
      <c r="BU121" s="51"/>
      <c r="BV121" s="51"/>
      <c r="BW121" s="51"/>
      <c r="BX121" s="51"/>
      <c r="BY121" s="51"/>
      <c r="BZ121" s="51"/>
      <c r="CA121" s="51"/>
      <c r="CB121" s="51"/>
      <c r="CC121" s="51"/>
      <c r="CD121" s="51"/>
      <c r="CE121" s="51"/>
      <c r="CF121" s="51"/>
      <c r="CG121" s="51"/>
      <c r="CH121" s="51"/>
      <c r="CI121" s="51"/>
      <c r="CJ121" s="51"/>
      <c r="CK121" s="51"/>
      <c r="CL121" s="51"/>
      <c r="CM121" s="51"/>
      <c r="CN121" s="51"/>
      <c r="CO121" s="51"/>
      <c r="CP121" s="51"/>
    </row>
    <row r="122" spans="20:94" s="49" customFormat="1" ht="13" customHeight="1">
      <c r="T122" s="51"/>
      <c r="U122" s="51"/>
      <c r="V122" s="51"/>
      <c r="W122" s="51"/>
      <c r="X122" s="51"/>
      <c r="Y122" s="51"/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1"/>
      <c r="AT122" s="51"/>
      <c r="AU122" s="51"/>
      <c r="AV122" s="51"/>
      <c r="AW122" s="51"/>
      <c r="AX122" s="51"/>
      <c r="AY122" s="51"/>
      <c r="AZ122" s="51"/>
      <c r="BA122" s="51"/>
      <c r="BB122" s="51"/>
      <c r="BC122" s="51"/>
      <c r="BD122" s="51"/>
      <c r="BE122" s="51"/>
      <c r="BF122" s="51"/>
      <c r="BG122" s="51"/>
      <c r="BH122" s="51"/>
      <c r="BI122" s="51"/>
      <c r="BJ122" s="51"/>
      <c r="BK122" s="51"/>
      <c r="BL122" s="51"/>
      <c r="BM122" s="51"/>
      <c r="BN122" s="51"/>
      <c r="BO122" s="51"/>
      <c r="BP122" s="51"/>
      <c r="BQ122" s="51"/>
      <c r="BR122" s="51"/>
      <c r="BS122" s="51"/>
      <c r="BT122" s="51"/>
      <c r="BU122" s="51"/>
      <c r="BV122" s="51"/>
      <c r="BW122" s="51"/>
      <c r="BX122" s="51"/>
      <c r="BY122" s="51"/>
      <c r="BZ122" s="51"/>
      <c r="CA122" s="51"/>
      <c r="CB122" s="51"/>
      <c r="CC122" s="51"/>
      <c r="CD122" s="51"/>
      <c r="CE122" s="51"/>
      <c r="CF122" s="51"/>
      <c r="CG122" s="51"/>
      <c r="CH122" s="51"/>
      <c r="CI122" s="51"/>
      <c r="CJ122" s="51"/>
      <c r="CK122" s="51"/>
      <c r="CL122" s="51"/>
      <c r="CM122" s="51"/>
      <c r="CN122" s="51"/>
      <c r="CO122" s="51"/>
      <c r="CP122" s="51"/>
    </row>
    <row r="123" spans="20:94" s="49" customFormat="1" ht="13" customHeight="1">
      <c r="T123" s="51"/>
      <c r="U123" s="51"/>
      <c r="V123" s="51"/>
      <c r="W123" s="51"/>
      <c r="X123" s="51"/>
      <c r="Y123" s="51"/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1"/>
      <c r="AT123" s="51"/>
      <c r="AU123" s="51"/>
      <c r="AV123" s="51"/>
      <c r="AW123" s="51"/>
      <c r="AX123" s="51"/>
      <c r="AY123" s="51"/>
      <c r="AZ123" s="51"/>
      <c r="BA123" s="51"/>
      <c r="BB123" s="51"/>
      <c r="BC123" s="51"/>
      <c r="BD123" s="51"/>
      <c r="BE123" s="51"/>
      <c r="BF123" s="51"/>
      <c r="BG123" s="51"/>
      <c r="BH123" s="51"/>
      <c r="BI123" s="51"/>
      <c r="BJ123" s="51"/>
      <c r="BK123" s="51"/>
      <c r="BL123" s="51"/>
      <c r="BM123" s="51"/>
      <c r="BN123" s="51"/>
      <c r="BO123" s="51"/>
      <c r="BP123" s="51"/>
      <c r="BQ123" s="51"/>
      <c r="BR123" s="51"/>
      <c r="BS123" s="51"/>
      <c r="BT123" s="51"/>
      <c r="BU123" s="51"/>
      <c r="BV123" s="51"/>
      <c r="BW123" s="51"/>
      <c r="BX123" s="51"/>
      <c r="BY123" s="51"/>
      <c r="BZ123" s="51"/>
      <c r="CA123" s="51"/>
      <c r="CB123" s="51"/>
      <c r="CC123" s="51"/>
      <c r="CD123" s="51"/>
      <c r="CE123" s="51"/>
      <c r="CF123" s="51"/>
      <c r="CG123" s="51"/>
      <c r="CH123" s="51"/>
      <c r="CI123" s="51"/>
      <c r="CJ123" s="51"/>
      <c r="CK123" s="51"/>
      <c r="CL123" s="51"/>
      <c r="CM123" s="51"/>
      <c r="CN123" s="51"/>
      <c r="CO123" s="51"/>
      <c r="CP123" s="51"/>
    </row>
    <row r="124" spans="20:94" s="49" customFormat="1" ht="13" customHeight="1">
      <c r="T124" s="51"/>
      <c r="U124" s="51"/>
      <c r="V124" s="51"/>
      <c r="W124" s="51"/>
      <c r="X124" s="51"/>
      <c r="Y124" s="51"/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1"/>
      <c r="AT124" s="51"/>
      <c r="AU124" s="51"/>
      <c r="AV124" s="51"/>
      <c r="AW124" s="51"/>
      <c r="AX124" s="51"/>
      <c r="AY124" s="51"/>
      <c r="AZ124" s="51"/>
      <c r="BA124" s="51"/>
      <c r="BB124" s="51"/>
      <c r="BC124" s="51"/>
      <c r="BD124" s="51"/>
      <c r="BE124" s="51"/>
      <c r="BF124" s="51"/>
      <c r="BG124" s="51"/>
      <c r="BH124" s="51"/>
      <c r="BI124" s="51"/>
      <c r="BJ124" s="51"/>
      <c r="BK124" s="51"/>
      <c r="BL124" s="51"/>
      <c r="BM124" s="51"/>
      <c r="BN124" s="51"/>
      <c r="BO124" s="51"/>
      <c r="BP124" s="51"/>
      <c r="BQ124" s="51"/>
      <c r="BR124" s="51"/>
      <c r="BS124" s="51"/>
      <c r="BT124" s="51"/>
      <c r="BU124" s="51"/>
      <c r="BV124" s="51"/>
      <c r="BW124" s="51"/>
      <c r="BX124" s="51"/>
      <c r="BY124" s="51"/>
      <c r="BZ124" s="51"/>
      <c r="CA124" s="51"/>
      <c r="CB124" s="51"/>
      <c r="CC124" s="51"/>
      <c r="CD124" s="51"/>
      <c r="CE124" s="51"/>
      <c r="CF124" s="51"/>
      <c r="CG124" s="51"/>
      <c r="CH124" s="51"/>
      <c r="CI124" s="51"/>
      <c r="CJ124" s="51"/>
      <c r="CK124" s="51"/>
      <c r="CL124" s="51"/>
      <c r="CM124" s="51"/>
      <c r="CN124" s="51"/>
      <c r="CO124" s="51"/>
      <c r="CP124" s="51"/>
    </row>
    <row r="125" spans="20:94" s="49" customFormat="1" ht="13" customHeight="1">
      <c r="T125" s="51"/>
      <c r="U125" s="51"/>
      <c r="V125" s="51"/>
      <c r="W125" s="51"/>
      <c r="X125" s="51"/>
      <c r="Y125" s="51"/>
      <c r="Z125" s="5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51"/>
      <c r="AQ125" s="51"/>
      <c r="AR125" s="51"/>
      <c r="AS125" s="51"/>
      <c r="AT125" s="51"/>
      <c r="AU125" s="51"/>
      <c r="AV125" s="51"/>
      <c r="AW125" s="51"/>
      <c r="AX125" s="51"/>
      <c r="AY125" s="51"/>
      <c r="AZ125" s="51"/>
      <c r="BA125" s="51"/>
      <c r="BB125" s="51"/>
      <c r="BC125" s="51"/>
      <c r="BD125" s="51"/>
      <c r="BE125" s="51"/>
      <c r="BF125" s="51"/>
      <c r="BG125" s="51"/>
      <c r="BH125" s="51"/>
      <c r="BI125" s="51"/>
      <c r="BJ125" s="51"/>
      <c r="BK125" s="51"/>
      <c r="BL125" s="51"/>
      <c r="BM125" s="51"/>
      <c r="BN125" s="51"/>
      <c r="BO125" s="51"/>
      <c r="BP125" s="51"/>
      <c r="BQ125" s="51"/>
      <c r="BR125" s="51"/>
      <c r="BS125" s="51"/>
      <c r="BT125" s="51"/>
      <c r="BU125" s="51"/>
      <c r="BV125" s="51"/>
      <c r="BW125" s="51"/>
      <c r="BX125" s="51"/>
      <c r="BY125" s="51"/>
      <c r="BZ125" s="51"/>
      <c r="CA125" s="51"/>
      <c r="CB125" s="51"/>
      <c r="CC125" s="51"/>
      <c r="CD125" s="51"/>
      <c r="CE125" s="51"/>
      <c r="CF125" s="51"/>
      <c r="CG125" s="51"/>
      <c r="CH125" s="51"/>
      <c r="CI125" s="51"/>
      <c r="CJ125" s="51"/>
      <c r="CK125" s="51"/>
      <c r="CL125" s="51"/>
      <c r="CM125" s="51"/>
      <c r="CN125" s="51"/>
      <c r="CO125" s="51"/>
      <c r="CP125" s="51"/>
    </row>
    <row r="126" spans="20:94" s="49" customFormat="1" ht="13" customHeight="1"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51"/>
      <c r="AQ126" s="51"/>
      <c r="AR126" s="51"/>
      <c r="AS126" s="51"/>
      <c r="AT126" s="51"/>
      <c r="AU126" s="51"/>
      <c r="AV126" s="51"/>
      <c r="AW126" s="51"/>
      <c r="AX126" s="51"/>
      <c r="AY126" s="51"/>
      <c r="AZ126" s="51"/>
      <c r="BA126" s="51"/>
      <c r="BB126" s="51"/>
      <c r="BC126" s="51"/>
      <c r="BD126" s="51"/>
      <c r="BE126" s="51"/>
      <c r="BF126" s="51"/>
      <c r="BG126" s="51"/>
      <c r="BH126" s="51"/>
      <c r="BI126" s="51"/>
      <c r="BJ126" s="51"/>
      <c r="BK126" s="51"/>
      <c r="BL126" s="51"/>
      <c r="BM126" s="51"/>
      <c r="BN126" s="51"/>
      <c r="BO126" s="51"/>
      <c r="BP126" s="51"/>
      <c r="BQ126" s="51"/>
      <c r="BR126" s="51"/>
      <c r="BS126" s="51"/>
      <c r="BT126" s="51"/>
      <c r="BU126" s="51"/>
      <c r="BV126" s="51"/>
      <c r="BW126" s="51"/>
      <c r="BX126" s="51"/>
      <c r="BY126" s="51"/>
      <c r="BZ126" s="51"/>
      <c r="CA126" s="51"/>
      <c r="CB126" s="51"/>
      <c r="CC126" s="51"/>
      <c r="CD126" s="51"/>
      <c r="CE126" s="51"/>
      <c r="CF126" s="51"/>
      <c r="CG126" s="51"/>
      <c r="CH126" s="51"/>
      <c r="CI126" s="51"/>
      <c r="CJ126" s="51"/>
      <c r="CK126" s="51"/>
      <c r="CL126" s="51"/>
      <c r="CM126" s="51"/>
      <c r="CN126" s="51"/>
      <c r="CO126" s="51"/>
      <c r="CP126" s="51"/>
    </row>
    <row r="127" spans="20:94" s="49" customFormat="1" ht="13" customHeight="1">
      <c r="T127" s="51"/>
      <c r="U127" s="51"/>
      <c r="V127" s="51"/>
      <c r="W127" s="51"/>
      <c r="X127" s="51"/>
      <c r="Y127" s="51"/>
      <c r="Z127" s="5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51"/>
      <c r="AQ127" s="51"/>
      <c r="AR127" s="51"/>
      <c r="AS127" s="51"/>
      <c r="AT127" s="51"/>
      <c r="AU127" s="51"/>
      <c r="AV127" s="51"/>
      <c r="AW127" s="51"/>
      <c r="AX127" s="51"/>
      <c r="AY127" s="51"/>
      <c r="AZ127" s="51"/>
      <c r="BA127" s="51"/>
      <c r="BB127" s="51"/>
      <c r="BC127" s="51"/>
      <c r="BD127" s="51"/>
      <c r="BE127" s="51"/>
      <c r="BF127" s="51"/>
      <c r="BG127" s="51"/>
      <c r="BH127" s="51"/>
      <c r="BI127" s="51"/>
      <c r="BJ127" s="51"/>
      <c r="BK127" s="51"/>
      <c r="BL127" s="51"/>
      <c r="BM127" s="51"/>
      <c r="BN127" s="51"/>
      <c r="BO127" s="51"/>
      <c r="BP127" s="51"/>
      <c r="BQ127" s="51"/>
      <c r="BR127" s="51"/>
      <c r="BS127" s="51"/>
      <c r="BT127" s="51"/>
      <c r="BU127" s="51"/>
      <c r="BV127" s="51"/>
      <c r="BW127" s="51"/>
      <c r="BX127" s="51"/>
      <c r="BY127" s="51"/>
      <c r="BZ127" s="51"/>
      <c r="CA127" s="51"/>
      <c r="CB127" s="51"/>
      <c r="CC127" s="51"/>
      <c r="CD127" s="51"/>
      <c r="CE127" s="51"/>
      <c r="CF127" s="51"/>
      <c r="CG127" s="51"/>
      <c r="CH127" s="51"/>
      <c r="CI127" s="51"/>
      <c r="CJ127" s="51"/>
      <c r="CK127" s="51"/>
      <c r="CL127" s="51"/>
      <c r="CM127" s="51"/>
      <c r="CN127" s="51"/>
      <c r="CO127" s="51"/>
      <c r="CP127" s="51"/>
    </row>
    <row r="128" spans="20:94" s="49" customFormat="1" ht="13" customHeight="1">
      <c r="T128" s="51"/>
      <c r="U128" s="51"/>
      <c r="V128" s="51"/>
      <c r="W128" s="51"/>
      <c r="X128" s="51"/>
      <c r="Y128" s="51"/>
      <c r="Z128" s="5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51"/>
      <c r="AQ128" s="51"/>
      <c r="AR128" s="51"/>
      <c r="AS128" s="51"/>
      <c r="AT128" s="51"/>
      <c r="AU128" s="51"/>
      <c r="AV128" s="51"/>
      <c r="AW128" s="51"/>
      <c r="AX128" s="51"/>
      <c r="AY128" s="51"/>
      <c r="AZ128" s="51"/>
      <c r="BA128" s="51"/>
      <c r="BB128" s="51"/>
      <c r="BC128" s="51"/>
      <c r="BD128" s="51"/>
      <c r="BE128" s="51"/>
      <c r="BF128" s="51"/>
      <c r="BG128" s="51"/>
      <c r="BH128" s="51"/>
      <c r="BI128" s="51"/>
      <c r="BJ128" s="51"/>
      <c r="BK128" s="51"/>
      <c r="BL128" s="51"/>
      <c r="BM128" s="51"/>
      <c r="BN128" s="51"/>
      <c r="BO128" s="51"/>
      <c r="BP128" s="51"/>
      <c r="BQ128" s="51"/>
      <c r="BR128" s="51"/>
      <c r="BS128" s="51"/>
      <c r="BT128" s="51"/>
      <c r="BU128" s="51"/>
      <c r="BV128" s="51"/>
      <c r="BW128" s="51"/>
      <c r="BX128" s="51"/>
      <c r="BY128" s="51"/>
      <c r="BZ128" s="51"/>
      <c r="CA128" s="51"/>
      <c r="CB128" s="51"/>
      <c r="CC128" s="51"/>
      <c r="CD128" s="51"/>
      <c r="CE128" s="51"/>
      <c r="CF128" s="51"/>
      <c r="CG128" s="51"/>
      <c r="CH128" s="51"/>
      <c r="CI128" s="51"/>
      <c r="CJ128" s="51"/>
      <c r="CK128" s="51"/>
      <c r="CL128" s="51"/>
      <c r="CM128" s="51"/>
      <c r="CN128" s="51"/>
      <c r="CO128" s="51"/>
      <c r="CP128" s="51"/>
    </row>
    <row r="129" spans="20:94" s="49" customFormat="1" ht="13" customHeight="1"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51"/>
      <c r="AQ129" s="51"/>
      <c r="AR129" s="51"/>
      <c r="AS129" s="51"/>
      <c r="AT129" s="51"/>
      <c r="AU129" s="51"/>
      <c r="AV129" s="51"/>
      <c r="AW129" s="51"/>
      <c r="AX129" s="51"/>
      <c r="AY129" s="51"/>
      <c r="AZ129" s="51"/>
      <c r="BA129" s="51"/>
      <c r="BB129" s="51"/>
      <c r="BC129" s="51"/>
      <c r="BD129" s="51"/>
      <c r="BE129" s="51"/>
      <c r="BF129" s="51"/>
      <c r="BG129" s="51"/>
      <c r="BH129" s="51"/>
      <c r="BI129" s="51"/>
      <c r="BJ129" s="51"/>
      <c r="BK129" s="51"/>
      <c r="BL129" s="51"/>
      <c r="BM129" s="51"/>
      <c r="BN129" s="51"/>
      <c r="BO129" s="51"/>
      <c r="BP129" s="51"/>
      <c r="BQ129" s="51"/>
      <c r="BR129" s="51"/>
      <c r="BS129" s="51"/>
      <c r="BT129" s="51"/>
      <c r="BU129" s="51"/>
      <c r="BV129" s="51"/>
      <c r="BW129" s="51"/>
      <c r="BX129" s="51"/>
      <c r="BY129" s="51"/>
      <c r="BZ129" s="51"/>
      <c r="CA129" s="51"/>
      <c r="CB129" s="51"/>
      <c r="CC129" s="51"/>
      <c r="CD129" s="51"/>
      <c r="CE129" s="51"/>
      <c r="CF129" s="51"/>
      <c r="CG129" s="51"/>
      <c r="CH129" s="51"/>
      <c r="CI129" s="51"/>
      <c r="CJ129" s="51"/>
      <c r="CK129" s="51"/>
      <c r="CL129" s="51"/>
      <c r="CM129" s="51"/>
      <c r="CN129" s="51"/>
      <c r="CO129" s="51"/>
      <c r="CP129" s="51"/>
    </row>
    <row r="130" spans="20:94" s="49" customFormat="1" ht="13" customHeight="1"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51"/>
      <c r="AQ130" s="51"/>
      <c r="AR130" s="51"/>
      <c r="AS130" s="51"/>
      <c r="AT130" s="51"/>
      <c r="AU130" s="51"/>
      <c r="AV130" s="51"/>
      <c r="AW130" s="51"/>
      <c r="AX130" s="51"/>
      <c r="AY130" s="51"/>
      <c r="AZ130" s="51"/>
      <c r="BA130" s="51"/>
      <c r="BB130" s="51"/>
      <c r="BC130" s="51"/>
      <c r="BD130" s="51"/>
      <c r="BE130" s="51"/>
      <c r="BF130" s="51"/>
      <c r="BG130" s="51"/>
      <c r="BH130" s="51"/>
      <c r="BI130" s="51"/>
      <c r="BJ130" s="51"/>
      <c r="BK130" s="51"/>
      <c r="BL130" s="51"/>
      <c r="BM130" s="51"/>
      <c r="BN130" s="51"/>
      <c r="BO130" s="51"/>
      <c r="BP130" s="51"/>
      <c r="BQ130" s="51"/>
      <c r="BR130" s="51"/>
      <c r="BS130" s="51"/>
      <c r="BT130" s="51"/>
      <c r="BU130" s="51"/>
      <c r="BV130" s="51"/>
      <c r="BW130" s="51"/>
      <c r="BX130" s="51"/>
      <c r="BY130" s="51"/>
      <c r="BZ130" s="51"/>
      <c r="CA130" s="51"/>
      <c r="CB130" s="51"/>
      <c r="CC130" s="51"/>
      <c r="CD130" s="51"/>
      <c r="CE130" s="51"/>
      <c r="CF130" s="51"/>
      <c r="CG130" s="51"/>
      <c r="CH130" s="51"/>
      <c r="CI130" s="51"/>
      <c r="CJ130" s="51"/>
      <c r="CK130" s="51"/>
      <c r="CL130" s="51"/>
      <c r="CM130" s="51"/>
      <c r="CN130" s="51"/>
      <c r="CO130" s="51"/>
      <c r="CP130" s="51"/>
    </row>
    <row r="131" spans="20:94" s="49" customFormat="1" ht="13" customHeight="1">
      <c r="T131" s="51"/>
      <c r="U131" s="51"/>
      <c r="V131" s="51"/>
      <c r="W131" s="51"/>
      <c r="X131" s="51"/>
      <c r="Y131" s="51"/>
      <c r="Z131" s="5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51"/>
      <c r="AQ131" s="51"/>
      <c r="AR131" s="51"/>
      <c r="AS131" s="51"/>
      <c r="AT131" s="51"/>
      <c r="AU131" s="51"/>
      <c r="AV131" s="51"/>
      <c r="AW131" s="51"/>
      <c r="AX131" s="51"/>
      <c r="AY131" s="51"/>
      <c r="AZ131" s="51"/>
      <c r="BA131" s="51"/>
      <c r="BB131" s="51"/>
      <c r="BC131" s="51"/>
      <c r="BD131" s="51"/>
      <c r="BE131" s="51"/>
      <c r="BF131" s="51"/>
      <c r="BG131" s="51"/>
      <c r="BH131" s="51"/>
      <c r="BI131" s="51"/>
      <c r="BJ131" s="51"/>
      <c r="BK131" s="51"/>
      <c r="BL131" s="51"/>
      <c r="BM131" s="51"/>
      <c r="BN131" s="51"/>
      <c r="BO131" s="51"/>
      <c r="BP131" s="51"/>
      <c r="BQ131" s="51"/>
      <c r="BR131" s="51"/>
      <c r="BS131" s="51"/>
      <c r="BT131" s="51"/>
      <c r="BU131" s="51"/>
      <c r="BV131" s="51"/>
      <c r="BW131" s="51"/>
      <c r="BX131" s="51"/>
      <c r="BY131" s="51"/>
      <c r="BZ131" s="51"/>
      <c r="CA131" s="51"/>
      <c r="CB131" s="51"/>
      <c r="CC131" s="51"/>
      <c r="CD131" s="51"/>
      <c r="CE131" s="51"/>
      <c r="CF131" s="51"/>
      <c r="CG131" s="51"/>
      <c r="CH131" s="51"/>
      <c r="CI131" s="51"/>
      <c r="CJ131" s="51"/>
      <c r="CK131" s="51"/>
      <c r="CL131" s="51"/>
      <c r="CM131" s="51"/>
      <c r="CN131" s="51"/>
      <c r="CO131" s="51"/>
      <c r="CP131" s="51"/>
    </row>
    <row r="132" spans="20:94" s="49" customFormat="1" ht="13" customHeight="1"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1"/>
      <c r="CF132" s="51"/>
      <c r="CG132" s="51"/>
      <c r="CH132" s="51"/>
      <c r="CI132" s="51"/>
      <c r="CJ132" s="51"/>
      <c r="CK132" s="51"/>
      <c r="CL132" s="51"/>
      <c r="CM132" s="51"/>
      <c r="CN132" s="51"/>
      <c r="CO132" s="51"/>
      <c r="CP132" s="51"/>
    </row>
    <row r="133" spans="20:94" s="49" customFormat="1" ht="13" customHeight="1">
      <c r="T133" s="51"/>
      <c r="U133" s="51"/>
      <c r="V133" s="51"/>
      <c r="W133" s="51"/>
      <c r="X133" s="51"/>
      <c r="Y133" s="51"/>
      <c r="Z133" s="5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51"/>
      <c r="AQ133" s="51"/>
      <c r="AR133" s="51"/>
      <c r="AS133" s="51"/>
      <c r="AT133" s="51"/>
      <c r="AU133" s="51"/>
      <c r="AV133" s="51"/>
      <c r="AW133" s="51"/>
      <c r="AX133" s="51"/>
      <c r="AY133" s="51"/>
      <c r="AZ133" s="51"/>
      <c r="BA133" s="51"/>
      <c r="BB133" s="51"/>
      <c r="BC133" s="51"/>
      <c r="BD133" s="51"/>
      <c r="BE133" s="51"/>
      <c r="BF133" s="51"/>
      <c r="BG133" s="51"/>
      <c r="BH133" s="51"/>
      <c r="BI133" s="51"/>
      <c r="BJ133" s="51"/>
      <c r="BK133" s="51"/>
      <c r="BL133" s="51"/>
      <c r="BM133" s="51"/>
      <c r="BN133" s="51"/>
      <c r="BO133" s="51"/>
      <c r="BP133" s="51"/>
      <c r="BQ133" s="51"/>
      <c r="BR133" s="51"/>
      <c r="BS133" s="51"/>
      <c r="BT133" s="51"/>
      <c r="BU133" s="51"/>
      <c r="BV133" s="51"/>
      <c r="BW133" s="51"/>
      <c r="BX133" s="51"/>
      <c r="BY133" s="51"/>
      <c r="BZ133" s="51"/>
      <c r="CA133" s="51"/>
      <c r="CB133" s="51"/>
      <c r="CC133" s="51"/>
      <c r="CD133" s="51"/>
      <c r="CE133" s="51"/>
      <c r="CF133" s="51"/>
      <c r="CG133" s="51"/>
      <c r="CH133" s="51"/>
      <c r="CI133" s="51"/>
      <c r="CJ133" s="51"/>
      <c r="CK133" s="51"/>
      <c r="CL133" s="51"/>
      <c r="CM133" s="51"/>
      <c r="CN133" s="51"/>
      <c r="CO133" s="51"/>
      <c r="CP133" s="51"/>
    </row>
    <row r="134" spans="20:94" s="49" customFormat="1" ht="13" customHeight="1"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51"/>
      <c r="AQ134" s="51"/>
      <c r="AR134" s="51"/>
      <c r="AS134" s="51"/>
      <c r="AT134" s="51"/>
      <c r="AU134" s="51"/>
      <c r="AV134" s="51"/>
      <c r="AW134" s="51"/>
      <c r="AX134" s="51"/>
      <c r="AY134" s="51"/>
      <c r="AZ134" s="51"/>
      <c r="BA134" s="51"/>
      <c r="BB134" s="51"/>
      <c r="BC134" s="51"/>
      <c r="BD134" s="51"/>
      <c r="BE134" s="51"/>
      <c r="BF134" s="51"/>
      <c r="BG134" s="51"/>
      <c r="BH134" s="51"/>
      <c r="BI134" s="51"/>
      <c r="BJ134" s="51"/>
      <c r="BK134" s="51"/>
      <c r="BL134" s="51"/>
      <c r="BM134" s="51"/>
      <c r="BN134" s="51"/>
      <c r="BO134" s="51"/>
      <c r="BP134" s="51"/>
      <c r="BQ134" s="51"/>
      <c r="BR134" s="51"/>
      <c r="BS134" s="51"/>
      <c r="BT134" s="51"/>
      <c r="BU134" s="51"/>
      <c r="BV134" s="51"/>
      <c r="BW134" s="51"/>
      <c r="BX134" s="51"/>
      <c r="BY134" s="51"/>
      <c r="BZ134" s="51"/>
      <c r="CA134" s="51"/>
      <c r="CB134" s="51"/>
      <c r="CC134" s="51"/>
      <c r="CD134" s="51"/>
      <c r="CE134" s="51"/>
      <c r="CF134" s="51"/>
      <c r="CG134" s="51"/>
      <c r="CH134" s="51"/>
      <c r="CI134" s="51"/>
      <c r="CJ134" s="51"/>
      <c r="CK134" s="51"/>
      <c r="CL134" s="51"/>
      <c r="CM134" s="51"/>
      <c r="CN134" s="51"/>
      <c r="CO134" s="51"/>
      <c r="CP134" s="51"/>
    </row>
    <row r="135" spans="20:94" s="49" customFormat="1" ht="13" customHeight="1">
      <c r="T135" s="51"/>
      <c r="U135" s="51"/>
      <c r="V135" s="51"/>
      <c r="W135" s="51"/>
      <c r="X135" s="51"/>
      <c r="Y135" s="51"/>
      <c r="Z135" s="5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51"/>
      <c r="AQ135" s="51"/>
      <c r="AR135" s="51"/>
      <c r="AS135" s="51"/>
      <c r="AT135" s="51"/>
      <c r="AU135" s="51"/>
      <c r="AV135" s="51"/>
      <c r="AW135" s="51"/>
      <c r="AX135" s="51"/>
      <c r="AY135" s="51"/>
      <c r="AZ135" s="51"/>
      <c r="BA135" s="51"/>
      <c r="BB135" s="51"/>
      <c r="BC135" s="51"/>
      <c r="BD135" s="51"/>
      <c r="BE135" s="51"/>
      <c r="BF135" s="51"/>
      <c r="BG135" s="51"/>
      <c r="BH135" s="51"/>
      <c r="BI135" s="51"/>
      <c r="BJ135" s="51"/>
      <c r="BK135" s="51"/>
      <c r="BL135" s="51"/>
      <c r="BM135" s="51"/>
      <c r="BN135" s="51"/>
      <c r="BO135" s="51"/>
      <c r="BP135" s="51"/>
      <c r="BQ135" s="51"/>
      <c r="BR135" s="51"/>
      <c r="BS135" s="51"/>
      <c r="BT135" s="51"/>
      <c r="BU135" s="51"/>
      <c r="BV135" s="51"/>
      <c r="BW135" s="51"/>
      <c r="BX135" s="51"/>
      <c r="BY135" s="51"/>
      <c r="BZ135" s="51"/>
      <c r="CA135" s="51"/>
      <c r="CB135" s="51"/>
      <c r="CC135" s="51"/>
      <c r="CD135" s="51"/>
      <c r="CE135" s="51"/>
      <c r="CF135" s="51"/>
      <c r="CG135" s="51"/>
      <c r="CH135" s="51"/>
      <c r="CI135" s="51"/>
      <c r="CJ135" s="51"/>
      <c r="CK135" s="51"/>
      <c r="CL135" s="51"/>
      <c r="CM135" s="51"/>
      <c r="CN135" s="51"/>
      <c r="CO135" s="51"/>
      <c r="CP135" s="51"/>
    </row>
    <row r="136" spans="20:94" s="49" customFormat="1" ht="13" customHeight="1"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51"/>
      <c r="AQ136" s="51"/>
      <c r="AR136" s="51"/>
      <c r="AS136" s="51"/>
      <c r="AT136" s="51"/>
      <c r="AU136" s="51"/>
      <c r="AV136" s="51"/>
      <c r="AW136" s="51"/>
      <c r="AX136" s="51"/>
      <c r="AY136" s="51"/>
      <c r="AZ136" s="51"/>
      <c r="BA136" s="51"/>
      <c r="BB136" s="51"/>
      <c r="BC136" s="51"/>
      <c r="BD136" s="51"/>
      <c r="BE136" s="51"/>
      <c r="BF136" s="51"/>
      <c r="BG136" s="51"/>
      <c r="BH136" s="51"/>
      <c r="BI136" s="51"/>
      <c r="BJ136" s="51"/>
      <c r="BK136" s="51"/>
      <c r="BL136" s="51"/>
      <c r="BM136" s="51"/>
      <c r="BN136" s="51"/>
      <c r="BO136" s="51"/>
      <c r="BP136" s="51"/>
      <c r="BQ136" s="51"/>
      <c r="BR136" s="51"/>
      <c r="BS136" s="51"/>
      <c r="BT136" s="51"/>
      <c r="BU136" s="51"/>
      <c r="BV136" s="51"/>
      <c r="BW136" s="51"/>
      <c r="BX136" s="51"/>
      <c r="BY136" s="51"/>
      <c r="BZ136" s="51"/>
      <c r="CA136" s="51"/>
      <c r="CB136" s="51"/>
      <c r="CC136" s="51"/>
      <c r="CD136" s="51"/>
      <c r="CE136" s="51"/>
      <c r="CF136" s="51"/>
      <c r="CG136" s="51"/>
      <c r="CH136" s="51"/>
      <c r="CI136" s="51"/>
      <c r="CJ136" s="51"/>
      <c r="CK136" s="51"/>
      <c r="CL136" s="51"/>
      <c r="CM136" s="51"/>
      <c r="CN136" s="51"/>
      <c r="CO136" s="51"/>
      <c r="CP136" s="51"/>
    </row>
    <row r="137" spans="20:94" s="49" customFormat="1" ht="13" customHeight="1">
      <c r="T137" s="51"/>
      <c r="U137" s="51"/>
      <c r="V137" s="51"/>
      <c r="W137" s="51"/>
      <c r="X137" s="51"/>
      <c r="Y137" s="51"/>
      <c r="Z137" s="5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51"/>
      <c r="AQ137" s="51"/>
      <c r="AR137" s="51"/>
      <c r="AS137" s="51"/>
      <c r="AT137" s="51"/>
      <c r="AU137" s="51"/>
      <c r="AV137" s="51"/>
      <c r="AW137" s="51"/>
      <c r="AX137" s="51"/>
      <c r="AY137" s="51"/>
      <c r="AZ137" s="51"/>
      <c r="BA137" s="51"/>
      <c r="BB137" s="51"/>
      <c r="BC137" s="51"/>
      <c r="BD137" s="51"/>
      <c r="BE137" s="51"/>
      <c r="BF137" s="51"/>
      <c r="BG137" s="51"/>
      <c r="BH137" s="51"/>
      <c r="BI137" s="51"/>
      <c r="BJ137" s="51"/>
      <c r="BK137" s="51"/>
      <c r="BL137" s="51"/>
      <c r="BM137" s="51"/>
      <c r="BN137" s="51"/>
      <c r="BO137" s="51"/>
      <c r="BP137" s="51"/>
      <c r="BQ137" s="51"/>
      <c r="BR137" s="51"/>
      <c r="BS137" s="51"/>
      <c r="BT137" s="51"/>
      <c r="BU137" s="51"/>
      <c r="BV137" s="51"/>
      <c r="BW137" s="51"/>
      <c r="BX137" s="51"/>
      <c r="BY137" s="51"/>
      <c r="BZ137" s="51"/>
      <c r="CA137" s="51"/>
      <c r="CB137" s="51"/>
      <c r="CC137" s="51"/>
      <c r="CD137" s="51"/>
      <c r="CE137" s="51"/>
      <c r="CF137" s="51"/>
      <c r="CG137" s="51"/>
      <c r="CH137" s="51"/>
      <c r="CI137" s="51"/>
      <c r="CJ137" s="51"/>
      <c r="CK137" s="51"/>
      <c r="CL137" s="51"/>
      <c r="CM137" s="51"/>
      <c r="CN137" s="51"/>
      <c r="CO137" s="51"/>
      <c r="CP137" s="51"/>
    </row>
    <row r="138" spans="20:94" s="49" customFormat="1" ht="13" customHeight="1"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51"/>
      <c r="AQ138" s="51"/>
      <c r="AR138" s="51"/>
      <c r="AS138" s="51"/>
      <c r="AT138" s="51"/>
      <c r="AU138" s="51"/>
      <c r="AV138" s="51"/>
      <c r="AW138" s="51"/>
      <c r="AX138" s="51"/>
      <c r="AY138" s="51"/>
      <c r="AZ138" s="51"/>
      <c r="BA138" s="51"/>
      <c r="BB138" s="51"/>
      <c r="BC138" s="51"/>
      <c r="BD138" s="51"/>
      <c r="BE138" s="51"/>
      <c r="BF138" s="51"/>
      <c r="BG138" s="51"/>
      <c r="BH138" s="51"/>
      <c r="BI138" s="51"/>
      <c r="BJ138" s="51"/>
      <c r="BK138" s="51"/>
      <c r="BL138" s="51"/>
      <c r="BM138" s="51"/>
      <c r="BN138" s="51"/>
      <c r="BO138" s="51"/>
      <c r="BP138" s="51"/>
      <c r="BQ138" s="51"/>
      <c r="BR138" s="51"/>
      <c r="BS138" s="51"/>
      <c r="BT138" s="51"/>
      <c r="BU138" s="51"/>
      <c r="BV138" s="51"/>
      <c r="BW138" s="51"/>
      <c r="BX138" s="51"/>
      <c r="BY138" s="51"/>
      <c r="BZ138" s="51"/>
      <c r="CA138" s="51"/>
      <c r="CB138" s="51"/>
      <c r="CC138" s="51"/>
      <c r="CD138" s="51"/>
      <c r="CE138" s="51"/>
      <c r="CF138" s="51"/>
      <c r="CG138" s="51"/>
      <c r="CH138" s="51"/>
      <c r="CI138" s="51"/>
      <c r="CJ138" s="51"/>
      <c r="CK138" s="51"/>
      <c r="CL138" s="51"/>
      <c r="CM138" s="51"/>
      <c r="CN138" s="51"/>
      <c r="CO138" s="51"/>
      <c r="CP138" s="51"/>
    </row>
    <row r="139" spans="20:94" s="49" customFormat="1" ht="13" customHeight="1"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51"/>
      <c r="AQ139" s="51"/>
      <c r="AR139" s="51"/>
      <c r="AS139" s="51"/>
      <c r="AT139" s="51"/>
      <c r="AU139" s="51"/>
      <c r="AV139" s="51"/>
      <c r="AW139" s="51"/>
      <c r="AX139" s="51"/>
      <c r="AY139" s="51"/>
      <c r="AZ139" s="51"/>
      <c r="BA139" s="51"/>
      <c r="BB139" s="51"/>
      <c r="BC139" s="51"/>
      <c r="BD139" s="51"/>
      <c r="BE139" s="51"/>
      <c r="BF139" s="51"/>
      <c r="BG139" s="51"/>
      <c r="BH139" s="51"/>
      <c r="BI139" s="51"/>
      <c r="BJ139" s="51"/>
      <c r="BK139" s="51"/>
      <c r="BL139" s="51"/>
      <c r="BM139" s="51"/>
      <c r="BN139" s="51"/>
      <c r="BO139" s="51"/>
      <c r="BP139" s="51"/>
      <c r="BQ139" s="51"/>
      <c r="BR139" s="51"/>
      <c r="BS139" s="51"/>
      <c r="BT139" s="51"/>
      <c r="BU139" s="51"/>
      <c r="BV139" s="51"/>
      <c r="BW139" s="51"/>
      <c r="BX139" s="51"/>
      <c r="BY139" s="51"/>
      <c r="BZ139" s="51"/>
      <c r="CA139" s="51"/>
      <c r="CB139" s="51"/>
      <c r="CC139" s="51"/>
      <c r="CD139" s="51"/>
      <c r="CE139" s="51"/>
      <c r="CF139" s="51"/>
      <c r="CG139" s="51"/>
      <c r="CH139" s="51"/>
      <c r="CI139" s="51"/>
      <c r="CJ139" s="51"/>
      <c r="CK139" s="51"/>
      <c r="CL139" s="51"/>
      <c r="CM139" s="51"/>
      <c r="CN139" s="51"/>
      <c r="CO139" s="51"/>
      <c r="CP139" s="51"/>
    </row>
    <row r="140" spans="20:94" s="49" customFormat="1" ht="13" customHeight="1"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51"/>
      <c r="AQ140" s="51"/>
      <c r="AR140" s="51"/>
      <c r="AS140" s="51"/>
      <c r="AT140" s="51"/>
      <c r="AU140" s="51"/>
      <c r="AV140" s="51"/>
      <c r="AW140" s="51"/>
      <c r="AX140" s="51"/>
      <c r="AY140" s="51"/>
      <c r="AZ140" s="51"/>
      <c r="BA140" s="51"/>
      <c r="BB140" s="51"/>
      <c r="BC140" s="51"/>
      <c r="BD140" s="51"/>
      <c r="BE140" s="51"/>
      <c r="BF140" s="51"/>
      <c r="BG140" s="51"/>
      <c r="BH140" s="51"/>
      <c r="BI140" s="51"/>
      <c r="BJ140" s="51"/>
      <c r="BK140" s="51"/>
      <c r="BL140" s="51"/>
      <c r="BM140" s="51"/>
      <c r="BN140" s="51"/>
      <c r="BO140" s="51"/>
      <c r="BP140" s="51"/>
      <c r="BQ140" s="51"/>
      <c r="BR140" s="51"/>
      <c r="BS140" s="51"/>
      <c r="BT140" s="51"/>
      <c r="BU140" s="51"/>
      <c r="BV140" s="51"/>
      <c r="BW140" s="51"/>
      <c r="BX140" s="51"/>
      <c r="BY140" s="51"/>
      <c r="BZ140" s="51"/>
      <c r="CA140" s="51"/>
      <c r="CB140" s="51"/>
      <c r="CC140" s="51"/>
      <c r="CD140" s="51"/>
      <c r="CE140" s="51"/>
      <c r="CF140" s="51"/>
      <c r="CG140" s="51"/>
      <c r="CH140" s="51"/>
      <c r="CI140" s="51"/>
      <c r="CJ140" s="51"/>
      <c r="CK140" s="51"/>
      <c r="CL140" s="51"/>
      <c r="CM140" s="51"/>
      <c r="CN140" s="51"/>
      <c r="CO140" s="51"/>
      <c r="CP140" s="51"/>
    </row>
    <row r="141" spans="20:94" s="49" customFormat="1" ht="13" customHeight="1">
      <c r="T141" s="51"/>
      <c r="U141" s="51"/>
      <c r="V141" s="51"/>
      <c r="W141" s="51"/>
      <c r="X141" s="51"/>
      <c r="Y141" s="51"/>
      <c r="Z141" s="5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51"/>
      <c r="AQ141" s="51"/>
      <c r="AR141" s="51"/>
      <c r="AS141" s="51"/>
      <c r="AT141" s="51"/>
      <c r="AU141" s="51"/>
      <c r="AV141" s="51"/>
      <c r="AW141" s="51"/>
      <c r="AX141" s="51"/>
      <c r="AY141" s="51"/>
      <c r="AZ141" s="51"/>
      <c r="BA141" s="51"/>
      <c r="BB141" s="51"/>
      <c r="BC141" s="51"/>
      <c r="BD141" s="51"/>
      <c r="BE141" s="51"/>
      <c r="BF141" s="51"/>
      <c r="BG141" s="51"/>
      <c r="BH141" s="51"/>
      <c r="BI141" s="51"/>
      <c r="BJ141" s="51"/>
      <c r="BK141" s="51"/>
      <c r="BL141" s="51"/>
      <c r="BM141" s="51"/>
      <c r="BN141" s="51"/>
      <c r="BO141" s="51"/>
      <c r="BP141" s="51"/>
      <c r="BQ141" s="51"/>
      <c r="BR141" s="51"/>
      <c r="BS141" s="51"/>
      <c r="BT141" s="51"/>
      <c r="BU141" s="51"/>
      <c r="BV141" s="51"/>
      <c r="BW141" s="51"/>
      <c r="BX141" s="51"/>
      <c r="BY141" s="51"/>
      <c r="BZ141" s="51"/>
      <c r="CA141" s="51"/>
      <c r="CB141" s="51"/>
      <c r="CC141" s="51"/>
      <c r="CD141" s="51"/>
      <c r="CE141" s="51"/>
      <c r="CF141" s="51"/>
      <c r="CG141" s="51"/>
      <c r="CH141" s="51"/>
      <c r="CI141" s="51"/>
      <c r="CJ141" s="51"/>
      <c r="CK141" s="51"/>
      <c r="CL141" s="51"/>
      <c r="CM141" s="51"/>
      <c r="CN141" s="51"/>
      <c r="CO141" s="51"/>
      <c r="CP141" s="51"/>
    </row>
    <row r="142" spans="20:94" s="49" customFormat="1" ht="13" customHeight="1"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51"/>
      <c r="AQ142" s="51"/>
      <c r="AR142" s="51"/>
      <c r="AS142" s="51"/>
      <c r="AT142" s="51"/>
      <c r="AU142" s="51"/>
      <c r="AV142" s="51"/>
      <c r="AW142" s="51"/>
      <c r="AX142" s="51"/>
      <c r="AY142" s="51"/>
      <c r="AZ142" s="51"/>
      <c r="BA142" s="51"/>
      <c r="BB142" s="51"/>
      <c r="BC142" s="51"/>
      <c r="BD142" s="51"/>
      <c r="BE142" s="51"/>
      <c r="BF142" s="51"/>
      <c r="BG142" s="51"/>
      <c r="BH142" s="51"/>
      <c r="BI142" s="51"/>
      <c r="BJ142" s="51"/>
      <c r="BK142" s="51"/>
      <c r="BL142" s="51"/>
      <c r="BM142" s="51"/>
      <c r="BN142" s="51"/>
      <c r="BO142" s="51"/>
      <c r="BP142" s="51"/>
      <c r="BQ142" s="51"/>
      <c r="BR142" s="51"/>
      <c r="BS142" s="51"/>
      <c r="BT142" s="51"/>
      <c r="BU142" s="51"/>
      <c r="BV142" s="51"/>
      <c r="BW142" s="51"/>
      <c r="BX142" s="51"/>
      <c r="BY142" s="51"/>
      <c r="BZ142" s="51"/>
      <c r="CA142" s="51"/>
      <c r="CB142" s="51"/>
      <c r="CC142" s="51"/>
      <c r="CD142" s="51"/>
      <c r="CE142" s="51"/>
      <c r="CF142" s="51"/>
      <c r="CG142" s="51"/>
      <c r="CH142" s="51"/>
      <c r="CI142" s="51"/>
      <c r="CJ142" s="51"/>
      <c r="CK142" s="51"/>
      <c r="CL142" s="51"/>
      <c r="CM142" s="51"/>
      <c r="CN142" s="51"/>
      <c r="CO142" s="51"/>
      <c r="CP142" s="51"/>
    </row>
    <row r="143" spans="20:94" s="49" customFormat="1" ht="13" customHeight="1"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51"/>
      <c r="AQ143" s="51"/>
      <c r="AR143" s="51"/>
      <c r="AS143" s="51"/>
      <c r="AT143" s="51"/>
      <c r="AU143" s="51"/>
      <c r="AV143" s="51"/>
      <c r="AW143" s="51"/>
      <c r="AX143" s="51"/>
      <c r="AY143" s="51"/>
      <c r="AZ143" s="51"/>
      <c r="BA143" s="51"/>
      <c r="BB143" s="51"/>
      <c r="BC143" s="51"/>
      <c r="BD143" s="51"/>
      <c r="BE143" s="51"/>
      <c r="BF143" s="51"/>
      <c r="BG143" s="51"/>
      <c r="BH143" s="51"/>
      <c r="BI143" s="51"/>
      <c r="BJ143" s="51"/>
      <c r="BK143" s="51"/>
      <c r="BL143" s="51"/>
      <c r="BM143" s="51"/>
      <c r="BN143" s="51"/>
      <c r="BO143" s="51"/>
      <c r="BP143" s="51"/>
      <c r="BQ143" s="51"/>
      <c r="BR143" s="51"/>
      <c r="BS143" s="51"/>
      <c r="BT143" s="51"/>
      <c r="BU143" s="51"/>
      <c r="BV143" s="51"/>
      <c r="BW143" s="51"/>
      <c r="BX143" s="51"/>
      <c r="BY143" s="51"/>
      <c r="BZ143" s="51"/>
      <c r="CA143" s="51"/>
      <c r="CB143" s="51"/>
      <c r="CC143" s="51"/>
      <c r="CD143" s="51"/>
      <c r="CE143" s="51"/>
      <c r="CF143" s="51"/>
      <c r="CG143" s="51"/>
      <c r="CH143" s="51"/>
      <c r="CI143" s="51"/>
      <c r="CJ143" s="51"/>
      <c r="CK143" s="51"/>
      <c r="CL143" s="51"/>
      <c r="CM143" s="51"/>
      <c r="CN143" s="51"/>
      <c r="CO143" s="51"/>
      <c r="CP143" s="51"/>
    </row>
    <row r="144" spans="20:94" s="49" customFormat="1" ht="13" customHeight="1"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51"/>
      <c r="AQ144" s="51"/>
      <c r="AR144" s="51"/>
      <c r="AS144" s="51"/>
      <c r="AT144" s="51"/>
      <c r="AU144" s="51"/>
      <c r="AV144" s="51"/>
      <c r="AW144" s="51"/>
      <c r="AX144" s="51"/>
      <c r="AY144" s="51"/>
      <c r="AZ144" s="51"/>
      <c r="BA144" s="51"/>
      <c r="BB144" s="51"/>
      <c r="BC144" s="51"/>
      <c r="BD144" s="51"/>
      <c r="BE144" s="51"/>
      <c r="BF144" s="51"/>
      <c r="BG144" s="51"/>
      <c r="BH144" s="51"/>
      <c r="BI144" s="51"/>
      <c r="BJ144" s="51"/>
      <c r="BK144" s="51"/>
      <c r="BL144" s="51"/>
      <c r="BM144" s="51"/>
      <c r="BN144" s="51"/>
      <c r="BO144" s="51"/>
      <c r="BP144" s="51"/>
      <c r="BQ144" s="51"/>
      <c r="BR144" s="51"/>
      <c r="BS144" s="51"/>
      <c r="BT144" s="51"/>
      <c r="BU144" s="51"/>
      <c r="BV144" s="51"/>
      <c r="BW144" s="51"/>
      <c r="BX144" s="51"/>
      <c r="BY144" s="51"/>
      <c r="BZ144" s="51"/>
      <c r="CA144" s="51"/>
      <c r="CB144" s="51"/>
      <c r="CC144" s="51"/>
      <c r="CD144" s="51"/>
      <c r="CE144" s="51"/>
      <c r="CF144" s="51"/>
      <c r="CG144" s="51"/>
      <c r="CH144" s="51"/>
      <c r="CI144" s="51"/>
      <c r="CJ144" s="51"/>
      <c r="CK144" s="51"/>
      <c r="CL144" s="51"/>
      <c r="CM144" s="51"/>
      <c r="CN144" s="51"/>
      <c r="CO144" s="51"/>
      <c r="CP144" s="51"/>
    </row>
    <row r="145" spans="20:94" s="49" customFormat="1" ht="13" customHeight="1"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51"/>
      <c r="AQ145" s="51"/>
      <c r="AR145" s="51"/>
      <c r="AS145" s="51"/>
      <c r="AT145" s="51"/>
      <c r="AU145" s="51"/>
      <c r="AV145" s="51"/>
      <c r="AW145" s="51"/>
      <c r="AX145" s="51"/>
      <c r="AY145" s="51"/>
      <c r="AZ145" s="51"/>
      <c r="BA145" s="51"/>
      <c r="BB145" s="51"/>
      <c r="BC145" s="51"/>
      <c r="BD145" s="51"/>
      <c r="BE145" s="51"/>
      <c r="BF145" s="51"/>
      <c r="BG145" s="51"/>
      <c r="BH145" s="51"/>
      <c r="BI145" s="51"/>
      <c r="BJ145" s="51"/>
      <c r="BK145" s="51"/>
      <c r="BL145" s="51"/>
      <c r="BM145" s="51"/>
      <c r="BN145" s="51"/>
      <c r="BO145" s="51"/>
      <c r="BP145" s="51"/>
      <c r="BQ145" s="51"/>
      <c r="BR145" s="51"/>
      <c r="BS145" s="51"/>
      <c r="BT145" s="51"/>
      <c r="BU145" s="51"/>
      <c r="BV145" s="51"/>
      <c r="BW145" s="51"/>
      <c r="BX145" s="51"/>
      <c r="BY145" s="51"/>
      <c r="BZ145" s="51"/>
      <c r="CA145" s="51"/>
      <c r="CB145" s="51"/>
      <c r="CC145" s="51"/>
      <c r="CD145" s="51"/>
      <c r="CE145" s="51"/>
      <c r="CF145" s="51"/>
      <c r="CG145" s="51"/>
      <c r="CH145" s="51"/>
      <c r="CI145" s="51"/>
      <c r="CJ145" s="51"/>
      <c r="CK145" s="51"/>
      <c r="CL145" s="51"/>
      <c r="CM145" s="51"/>
      <c r="CN145" s="51"/>
      <c r="CO145" s="51"/>
      <c r="CP145" s="51"/>
    </row>
    <row r="146" spans="20:94" s="49" customFormat="1" ht="13" customHeight="1"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51"/>
      <c r="AQ146" s="51"/>
      <c r="AR146" s="51"/>
      <c r="AS146" s="51"/>
      <c r="AT146" s="51"/>
      <c r="AU146" s="51"/>
      <c r="AV146" s="51"/>
      <c r="AW146" s="51"/>
      <c r="AX146" s="51"/>
      <c r="AY146" s="51"/>
      <c r="AZ146" s="51"/>
      <c r="BA146" s="51"/>
      <c r="BB146" s="51"/>
      <c r="BC146" s="51"/>
      <c r="BD146" s="51"/>
      <c r="BE146" s="51"/>
      <c r="BF146" s="51"/>
      <c r="BG146" s="51"/>
      <c r="BH146" s="51"/>
      <c r="BI146" s="51"/>
      <c r="BJ146" s="51"/>
      <c r="BK146" s="51"/>
      <c r="BL146" s="51"/>
      <c r="BM146" s="51"/>
      <c r="BN146" s="51"/>
      <c r="BO146" s="51"/>
      <c r="BP146" s="51"/>
      <c r="BQ146" s="51"/>
      <c r="BR146" s="51"/>
      <c r="BS146" s="51"/>
      <c r="BT146" s="51"/>
      <c r="BU146" s="51"/>
      <c r="BV146" s="51"/>
      <c r="BW146" s="51"/>
      <c r="BX146" s="51"/>
      <c r="BY146" s="51"/>
      <c r="BZ146" s="51"/>
      <c r="CA146" s="51"/>
      <c r="CB146" s="51"/>
      <c r="CC146" s="51"/>
      <c r="CD146" s="51"/>
      <c r="CE146" s="51"/>
      <c r="CF146" s="51"/>
      <c r="CG146" s="51"/>
      <c r="CH146" s="51"/>
      <c r="CI146" s="51"/>
      <c r="CJ146" s="51"/>
      <c r="CK146" s="51"/>
      <c r="CL146" s="51"/>
      <c r="CM146" s="51"/>
      <c r="CN146" s="51"/>
      <c r="CO146" s="51"/>
      <c r="CP146" s="51"/>
    </row>
    <row r="147" spans="20:94" s="49" customFormat="1" ht="13" customHeight="1"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51"/>
      <c r="AQ147" s="51"/>
      <c r="AR147" s="51"/>
      <c r="AS147" s="51"/>
      <c r="AT147" s="51"/>
      <c r="AU147" s="51"/>
      <c r="AV147" s="51"/>
      <c r="AW147" s="51"/>
      <c r="AX147" s="51"/>
      <c r="AY147" s="51"/>
      <c r="AZ147" s="51"/>
      <c r="BA147" s="51"/>
      <c r="BB147" s="51"/>
      <c r="BC147" s="51"/>
      <c r="BD147" s="51"/>
      <c r="BE147" s="51"/>
      <c r="BF147" s="51"/>
      <c r="BG147" s="51"/>
      <c r="BH147" s="51"/>
      <c r="BI147" s="51"/>
      <c r="BJ147" s="51"/>
      <c r="BK147" s="51"/>
      <c r="BL147" s="51"/>
      <c r="BM147" s="51"/>
      <c r="BN147" s="51"/>
      <c r="BO147" s="51"/>
      <c r="BP147" s="51"/>
      <c r="BQ147" s="51"/>
      <c r="BR147" s="51"/>
      <c r="BS147" s="51"/>
      <c r="BT147" s="51"/>
      <c r="BU147" s="51"/>
      <c r="BV147" s="51"/>
      <c r="BW147" s="51"/>
      <c r="BX147" s="51"/>
      <c r="BY147" s="51"/>
      <c r="BZ147" s="51"/>
      <c r="CA147" s="51"/>
      <c r="CB147" s="51"/>
      <c r="CC147" s="51"/>
      <c r="CD147" s="51"/>
      <c r="CE147" s="51"/>
      <c r="CF147" s="51"/>
      <c r="CG147" s="51"/>
      <c r="CH147" s="51"/>
      <c r="CI147" s="51"/>
      <c r="CJ147" s="51"/>
      <c r="CK147" s="51"/>
      <c r="CL147" s="51"/>
      <c r="CM147" s="51"/>
      <c r="CN147" s="51"/>
      <c r="CO147" s="51"/>
      <c r="CP147" s="51"/>
    </row>
    <row r="148" spans="20:94" s="49" customFormat="1" ht="13" customHeight="1"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51"/>
      <c r="AQ148" s="51"/>
      <c r="AR148" s="51"/>
      <c r="AS148" s="51"/>
      <c r="AT148" s="51"/>
      <c r="AU148" s="51"/>
      <c r="AV148" s="51"/>
      <c r="AW148" s="51"/>
      <c r="AX148" s="51"/>
      <c r="AY148" s="51"/>
      <c r="AZ148" s="51"/>
      <c r="BA148" s="51"/>
      <c r="BB148" s="51"/>
      <c r="BC148" s="51"/>
      <c r="BD148" s="51"/>
      <c r="BE148" s="51"/>
      <c r="BF148" s="51"/>
      <c r="BG148" s="51"/>
      <c r="BH148" s="51"/>
      <c r="BI148" s="51"/>
      <c r="BJ148" s="51"/>
      <c r="BK148" s="51"/>
      <c r="BL148" s="51"/>
      <c r="BM148" s="51"/>
      <c r="BN148" s="51"/>
      <c r="BO148" s="51"/>
      <c r="BP148" s="51"/>
      <c r="BQ148" s="51"/>
      <c r="BR148" s="51"/>
      <c r="BS148" s="51"/>
      <c r="BT148" s="51"/>
      <c r="BU148" s="51"/>
      <c r="BV148" s="51"/>
      <c r="BW148" s="51"/>
      <c r="BX148" s="51"/>
      <c r="BY148" s="51"/>
      <c r="BZ148" s="51"/>
      <c r="CA148" s="51"/>
      <c r="CB148" s="51"/>
      <c r="CC148" s="51"/>
      <c r="CD148" s="51"/>
      <c r="CE148" s="51"/>
      <c r="CF148" s="51"/>
      <c r="CG148" s="51"/>
      <c r="CH148" s="51"/>
      <c r="CI148" s="51"/>
      <c r="CJ148" s="51"/>
      <c r="CK148" s="51"/>
      <c r="CL148" s="51"/>
      <c r="CM148" s="51"/>
      <c r="CN148" s="51"/>
      <c r="CO148" s="51"/>
      <c r="CP148" s="51"/>
    </row>
    <row r="149" spans="20:94" s="49" customFormat="1" ht="13" customHeight="1"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51"/>
      <c r="AQ149" s="51"/>
      <c r="AR149" s="51"/>
      <c r="AS149" s="51"/>
      <c r="AT149" s="51"/>
      <c r="AU149" s="51"/>
      <c r="AV149" s="51"/>
      <c r="AW149" s="51"/>
      <c r="AX149" s="51"/>
      <c r="AY149" s="51"/>
      <c r="AZ149" s="51"/>
      <c r="BA149" s="51"/>
      <c r="BB149" s="51"/>
      <c r="BC149" s="51"/>
      <c r="BD149" s="51"/>
      <c r="BE149" s="51"/>
      <c r="BF149" s="51"/>
      <c r="BG149" s="51"/>
      <c r="BH149" s="51"/>
      <c r="BI149" s="51"/>
      <c r="BJ149" s="51"/>
      <c r="BK149" s="51"/>
      <c r="BL149" s="51"/>
      <c r="BM149" s="51"/>
      <c r="BN149" s="51"/>
      <c r="BO149" s="51"/>
      <c r="BP149" s="51"/>
      <c r="BQ149" s="51"/>
      <c r="BR149" s="51"/>
      <c r="BS149" s="51"/>
      <c r="BT149" s="51"/>
      <c r="BU149" s="51"/>
      <c r="BV149" s="51"/>
      <c r="BW149" s="51"/>
      <c r="BX149" s="51"/>
      <c r="BY149" s="51"/>
      <c r="BZ149" s="51"/>
      <c r="CA149" s="51"/>
      <c r="CB149" s="51"/>
      <c r="CC149" s="51"/>
      <c r="CD149" s="51"/>
      <c r="CE149" s="51"/>
      <c r="CF149" s="51"/>
      <c r="CG149" s="51"/>
      <c r="CH149" s="51"/>
      <c r="CI149" s="51"/>
      <c r="CJ149" s="51"/>
      <c r="CK149" s="51"/>
      <c r="CL149" s="51"/>
      <c r="CM149" s="51"/>
      <c r="CN149" s="51"/>
      <c r="CO149" s="51"/>
      <c r="CP149" s="51"/>
    </row>
    <row r="150" spans="20:94" s="49" customFormat="1" ht="13" customHeight="1"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51"/>
      <c r="AQ150" s="51"/>
      <c r="AR150" s="51"/>
      <c r="AS150" s="51"/>
      <c r="AT150" s="51"/>
      <c r="AU150" s="51"/>
      <c r="AV150" s="51"/>
      <c r="AW150" s="51"/>
      <c r="AX150" s="51"/>
      <c r="AY150" s="51"/>
      <c r="AZ150" s="51"/>
      <c r="BA150" s="51"/>
      <c r="BB150" s="51"/>
      <c r="BC150" s="51"/>
      <c r="BD150" s="51"/>
      <c r="BE150" s="51"/>
      <c r="BF150" s="51"/>
      <c r="BG150" s="51"/>
      <c r="BH150" s="51"/>
      <c r="BI150" s="51"/>
      <c r="BJ150" s="51"/>
      <c r="BK150" s="51"/>
      <c r="BL150" s="51"/>
      <c r="BM150" s="51"/>
      <c r="BN150" s="51"/>
      <c r="BO150" s="51"/>
      <c r="BP150" s="51"/>
      <c r="BQ150" s="51"/>
      <c r="BR150" s="51"/>
      <c r="BS150" s="51"/>
      <c r="BT150" s="51"/>
      <c r="BU150" s="51"/>
      <c r="BV150" s="51"/>
      <c r="BW150" s="51"/>
      <c r="BX150" s="51"/>
      <c r="BY150" s="51"/>
      <c r="BZ150" s="51"/>
      <c r="CA150" s="51"/>
      <c r="CB150" s="51"/>
      <c r="CC150" s="51"/>
      <c r="CD150" s="51"/>
      <c r="CE150" s="51"/>
      <c r="CF150" s="51"/>
      <c r="CG150" s="51"/>
      <c r="CH150" s="51"/>
      <c r="CI150" s="51"/>
      <c r="CJ150" s="51"/>
      <c r="CK150" s="51"/>
      <c r="CL150" s="51"/>
      <c r="CM150" s="51"/>
      <c r="CN150" s="51"/>
      <c r="CO150" s="51"/>
      <c r="CP150" s="51"/>
    </row>
    <row r="151" spans="20:94" s="49" customFormat="1" ht="13" customHeight="1">
      <c r="T151" s="51"/>
      <c r="U151" s="51"/>
      <c r="V151" s="51"/>
      <c r="W151" s="51"/>
      <c r="X151" s="51"/>
      <c r="Y151" s="51"/>
      <c r="Z151" s="5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51"/>
      <c r="AQ151" s="51"/>
      <c r="AR151" s="51"/>
      <c r="AS151" s="51"/>
      <c r="AT151" s="51"/>
      <c r="AU151" s="51"/>
      <c r="AV151" s="51"/>
      <c r="AW151" s="51"/>
      <c r="AX151" s="51"/>
      <c r="AY151" s="51"/>
      <c r="AZ151" s="51"/>
      <c r="BA151" s="51"/>
      <c r="BB151" s="51"/>
      <c r="BC151" s="51"/>
      <c r="BD151" s="51"/>
      <c r="BE151" s="51"/>
      <c r="BF151" s="51"/>
      <c r="BG151" s="51"/>
      <c r="BH151" s="51"/>
      <c r="BI151" s="51"/>
      <c r="BJ151" s="51"/>
      <c r="BK151" s="51"/>
      <c r="BL151" s="51"/>
      <c r="BM151" s="51"/>
      <c r="BN151" s="51"/>
      <c r="BO151" s="51"/>
      <c r="BP151" s="51"/>
      <c r="BQ151" s="51"/>
      <c r="BR151" s="51"/>
      <c r="BS151" s="51"/>
      <c r="BT151" s="51"/>
      <c r="BU151" s="51"/>
      <c r="BV151" s="51"/>
      <c r="BW151" s="51"/>
      <c r="BX151" s="51"/>
      <c r="BY151" s="51"/>
      <c r="BZ151" s="51"/>
      <c r="CA151" s="51"/>
      <c r="CB151" s="51"/>
      <c r="CC151" s="51"/>
      <c r="CD151" s="51"/>
      <c r="CE151" s="51"/>
      <c r="CF151" s="51"/>
      <c r="CG151" s="51"/>
      <c r="CH151" s="51"/>
      <c r="CI151" s="51"/>
      <c r="CJ151" s="51"/>
      <c r="CK151" s="51"/>
      <c r="CL151" s="51"/>
      <c r="CM151" s="51"/>
      <c r="CN151" s="51"/>
      <c r="CO151" s="51"/>
      <c r="CP151" s="51"/>
    </row>
    <row r="152" spans="20:94" s="49" customFormat="1" ht="13" customHeight="1">
      <c r="T152" s="51"/>
      <c r="U152" s="51"/>
      <c r="V152" s="51"/>
      <c r="W152" s="51"/>
      <c r="X152" s="51"/>
      <c r="Y152" s="51"/>
      <c r="Z152" s="5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51"/>
      <c r="AQ152" s="51"/>
      <c r="AR152" s="51"/>
      <c r="AS152" s="51"/>
      <c r="AT152" s="51"/>
      <c r="AU152" s="51"/>
      <c r="AV152" s="51"/>
      <c r="AW152" s="51"/>
      <c r="AX152" s="51"/>
      <c r="AY152" s="51"/>
      <c r="AZ152" s="51"/>
      <c r="BA152" s="51"/>
      <c r="BB152" s="51"/>
      <c r="BC152" s="51"/>
      <c r="BD152" s="51"/>
      <c r="BE152" s="51"/>
      <c r="BF152" s="51"/>
      <c r="BG152" s="51"/>
      <c r="BH152" s="51"/>
      <c r="BI152" s="51"/>
      <c r="BJ152" s="51"/>
      <c r="BK152" s="51"/>
      <c r="BL152" s="51"/>
      <c r="BM152" s="51"/>
      <c r="BN152" s="51"/>
      <c r="BO152" s="51"/>
      <c r="BP152" s="51"/>
      <c r="BQ152" s="51"/>
      <c r="BR152" s="51"/>
      <c r="BS152" s="51"/>
      <c r="BT152" s="51"/>
      <c r="BU152" s="51"/>
      <c r="BV152" s="51"/>
      <c r="BW152" s="51"/>
      <c r="BX152" s="51"/>
      <c r="BY152" s="51"/>
      <c r="BZ152" s="51"/>
      <c r="CA152" s="51"/>
      <c r="CB152" s="51"/>
      <c r="CC152" s="51"/>
      <c r="CD152" s="51"/>
      <c r="CE152" s="51"/>
      <c r="CF152" s="51"/>
      <c r="CG152" s="51"/>
      <c r="CH152" s="51"/>
      <c r="CI152" s="51"/>
      <c r="CJ152" s="51"/>
      <c r="CK152" s="51"/>
      <c r="CL152" s="51"/>
      <c r="CM152" s="51"/>
      <c r="CN152" s="51"/>
      <c r="CO152" s="51"/>
      <c r="CP152" s="51"/>
    </row>
    <row r="153" spans="20:94" s="49" customFormat="1" ht="13" customHeight="1">
      <c r="T153" s="51"/>
      <c r="U153" s="51"/>
      <c r="V153" s="51"/>
      <c r="W153" s="51"/>
      <c r="X153" s="51"/>
      <c r="Y153" s="51"/>
      <c r="Z153" s="5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51"/>
      <c r="AQ153" s="51"/>
      <c r="AR153" s="51"/>
      <c r="AS153" s="51"/>
      <c r="AT153" s="51"/>
      <c r="AU153" s="51"/>
      <c r="AV153" s="51"/>
      <c r="AW153" s="51"/>
      <c r="AX153" s="51"/>
      <c r="AY153" s="51"/>
      <c r="AZ153" s="51"/>
      <c r="BA153" s="51"/>
      <c r="BB153" s="51"/>
      <c r="BC153" s="51"/>
      <c r="BD153" s="51"/>
      <c r="BE153" s="51"/>
      <c r="BF153" s="51"/>
      <c r="BG153" s="51"/>
      <c r="BH153" s="51"/>
      <c r="BI153" s="51"/>
      <c r="BJ153" s="51"/>
      <c r="BK153" s="51"/>
      <c r="BL153" s="51"/>
      <c r="BM153" s="51"/>
      <c r="BN153" s="51"/>
      <c r="BO153" s="51"/>
      <c r="BP153" s="51"/>
      <c r="BQ153" s="51"/>
      <c r="BR153" s="51"/>
      <c r="BS153" s="51"/>
      <c r="BT153" s="51"/>
      <c r="BU153" s="51"/>
      <c r="BV153" s="51"/>
      <c r="BW153" s="51"/>
      <c r="BX153" s="51"/>
      <c r="BY153" s="51"/>
      <c r="BZ153" s="51"/>
      <c r="CA153" s="51"/>
      <c r="CB153" s="51"/>
      <c r="CC153" s="51"/>
      <c r="CD153" s="51"/>
      <c r="CE153" s="51"/>
      <c r="CF153" s="51"/>
      <c r="CG153" s="51"/>
      <c r="CH153" s="51"/>
      <c r="CI153" s="51"/>
      <c r="CJ153" s="51"/>
      <c r="CK153" s="51"/>
      <c r="CL153" s="51"/>
      <c r="CM153" s="51"/>
      <c r="CN153" s="51"/>
      <c r="CO153" s="51"/>
      <c r="CP153" s="51"/>
    </row>
    <row r="154" spans="20:94" s="49" customFormat="1" ht="13" customHeight="1"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51"/>
      <c r="AQ154" s="51"/>
      <c r="AR154" s="51"/>
      <c r="AS154" s="51"/>
      <c r="AT154" s="51"/>
      <c r="AU154" s="51"/>
      <c r="AV154" s="51"/>
      <c r="AW154" s="51"/>
      <c r="AX154" s="51"/>
      <c r="AY154" s="51"/>
      <c r="AZ154" s="51"/>
      <c r="BA154" s="51"/>
      <c r="BB154" s="51"/>
      <c r="BC154" s="51"/>
      <c r="BD154" s="51"/>
      <c r="BE154" s="51"/>
      <c r="BF154" s="51"/>
      <c r="BG154" s="51"/>
      <c r="BH154" s="51"/>
      <c r="BI154" s="51"/>
      <c r="BJ154" s="51"/>
      <c r="BK154" s="51"/>
      <c r="BL154" s="51"/>
      <c r="BM154" s="51"/>
      <c r="BN154" s="51"/>
      <c r="BO154" s="51"/>
      <c r="BP154" s="51"/>
      <c r="BQ154" s="51"/>
      <c r="BR154" s="51"/>
      <c r="BS154" s="51"/>
      <c r="BT154" s="51"/>
      <c r="BU154" s="51"/>
      <c r="BV154" s="51"/>
      <c r="BW154" s="51"/>
      <c r="BX154" s="51"/>
      <c r="BY154" s="51"/>
      <c r="BZ154" s="51"/>
      <c r="CA154" s="51"/>
      <c r="CB154" s="51"/>
      <c r="CC154" s="51"/>
      <c r="CD154" s="51"/>
      <c r="CE154" s="51"/>
      <c r="CF154" s="51"/>
      <c r="CG154" s="51"/>
      <c r="CH154" s="51"/>
      <c r="CI154" s="51"/>
      <c r="CJ154" s="51"/>
      <c r="CK154" s="51"/>
      <c r="CL154" s="51"/>
      <c r="CM154" s="51"/>
      <c r="CN154" s="51"/>
      <c r="CO154" s="51"/>
      <c r="CP154" s="51"/>
    </row>
    <row r="155" spans="20:94" s="49" customFormat="1" ht="13" customHeight="1">
      <c r="T155" s="51"/>
      <c r="U155" s="51"/>
      <c r="V155" s="51"/>
      <c r="W155" s="51"/>
      <c r="X155" s="51"/>
      <c r="Y155" s="51"/>
      <c r="Z155" s="5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51"/>
      <c r="AQ155" s="51"/>
      <c r="AR155" s="51"/>
      <c r="AS155" s="51"/>
      <c r="AT155" s="51"/>
      <c r="AU155" s="51"/>
      <c r="AV155" s="51"/>
      <c r="AW155" s="51"/>
      <c r="AX155" s="51"/>
      <c r="AY155" s="51"/>
      <c r="AZ155" s="51"/>
      <c r="BA155" s="51"/>
      <c r="BB155" s="51"/>
      <c r="BC155" s="51"/>
      <c r="BD155" s="51"/>
      <c r="BE155" s="51"/>
      <c r="BF155" s="51"/>
      <c r="BG155" s="51"/>
      <c r="BH155" s="51"/>
      <c r="BI155" s="51"/>
      <c r="BJ155" s="51"/>
      <c r="BK155" s="51"/>
      <c r="BL155" s="51"/>
      <c r="BM155" s="51"/>
      <c r="BN155" s="51"/>
      <c r="BO155" s="51"/>
      <c r="BP155" s="51"/>
      <c r="BQ155" s="51"/>
      <c r="BR155" s="51"/>
      <c r="BS155" s="51"/>
      <c r="BT155" s="51"/>
      <c r="BU155" s="51"/>
      <c r="BV155" s="51"/>
      <c r="BW155" s="51"/>
      <c r="BX155" s="51"/>
      <c r="BY155" s="51"/>
      <c r="BZ155" s="51"/>
      <c r="CA155" s="51"/>
      <c r="CB155" s="51"/>
      <c r="CC155" s="51"/>
      <c r="CD155" s="51"/>
      <c r="CE155" s="51"/>
      <c r="CF155" s="51"/>
      <c r="CG155" s="51"/>
      <c r="CH155" s="51"/>
      <c r="CI155" s="51"/>
      <c r="CJ155" s="51"/>
      <c r="CK155" s="51"/>
      <c r="CL155" s="51"/>
      <c r="CM155" s="51"/>
      <c r="CN155" s="51"/>
      <c r="CO155" s="51"/>
      <c r="CP155" s="51"/>
    </row>
    <row r="156" spans="20:94" s="49" customFormat="1" ht="13" customHeight="1">
      <c r="T156" s="51"/>
      <c r="U156" s="51"/>
      <c r="V156" s="51"/>
      <c r="W156" s="51"/>
      <c r="X156" s="51"/>
      <c r="Y156" s="51"/>
      <c r="Z156" s="5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51"/>
      <c r="AQ156" s="51"/>
      <c r="AR156" s="51"/>
      <c r="AS156" s="51"/>
      <c r="AT156" s="51"/>
      <c r="AU156" s="51"/>
      <c r="AV156" s="51"/>
      <c r="AW156" s="51"/>
      <c r="AX156" s="51"/>
      <c r="AY156" s="51"/>
      <c r="AZ156" s="51"/>
      <c r="BA156" s="51"/>
      <c r="BB156" s="51"/>
      <c r="BC156" s="51"/>
      <c r="BD156" s="51"/>
      <c r="BE156" s="51"/>
      <c r="BF156" s="51"/>
      <c r="BG156" s="51"/>
      <c r="BH156" s="51"/>
      <c r="BI156" s="51"/>
      <c r="BJ156" s="51"/>
      <c r="BK156" s="51"/>
      <c r="BL156" s="51"/>
      <c r="BM156" s="51"/>
      <c r="BN156" s="51"/>
      <c r="BO156" s="51"/>
      <c r="BP156" s="51"/>
      <c r="BQ156" s="51"/>
      <c r="BR156" s="51"/>
      <c r="BS156" s="51"/>
      <c r="BT156" s="51"/>
      <c r="BU156" s="51"/>
      <c r="BV156" s="51"/>
      <c r="BW156" s="51"/>
      <c r="BX156" s="51"/>
      <c r="BY156" s="51"/>
      <c r="BZ156" s="51"/>
      <c r="CA156" s="51"/>
      <c r="CB156" s="51"/>
      <c r="CC156" s="51"/>
      <c r="CD156" s="51"/>
      <c r="CE156" s="51"/>
      <c r="CF156" s="51"/>
      <c r="CG156" s="51"/>
      <c r="CH156" s="51"/>
      <c r="CI156" s="51"/>
      <c r="CJ156" s="51"/>
      <c r="CK156" s="51"/>
      <c r="CL156" s="51"/>
      <c r="CM156" s="51"/>
      <c r="CN156" s="51"/>
      <c r="CO156" s="51"/>
      <c r="CP156" s="51"/>
    </row>
    <row r="157" spans="20:94" s="49" customFormat="1" ht="13" customHeight="1"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51"/>
      <c r="AQ157" s="51"/>
      <c r="AR157" s="51"/>
      <c r="AS157" s="51"/>
      <c r="AT157" s="51"/>
      <c r="AU157" s="51"/>
      <c r="AV157" s="51"/>
      <c r="AW157" s="51"/>
      <c r="AX157" s="51"/>
      <c r="AY157" s="51"/>
      <c r="AZ157" s="51"/>
      <c r="BA157" s="51"/>
      <c r="BB157" s="51"/>
      <c r="BC157" s="51"/>
      <c r="BD157" s="51"/>
      <c r="BE157" s="51"/>
      <c r="BF157" s="51"/>
      <c r="BG157" s="51"/>
      <c r="BH157" s="51"/>
      <c r="BI157" s="51"/>
      <c r="BJ157" s="51"/>
      <c r="BK157" s="51"/>
      <c r="BL157" s="51"/>
      <c r="BM157" s="51"/>
      <c r="BN157" s="51"/>
      <c r="BO157" s="51"/>
      <c r="BP157" s="51"/>
      <c r="BQ157" s="51"/>
      <c r="BR157" s="51"/>
      <c r="BS157" s="51"/>
      <c r="BT157" s="51"/>
      <c r="BU157" s="51"/>
      <c r="BV157" s="51"/>
      <c r="BW157" s="51"/>
      <c r="BX157" s="51"/>
      <c r="BY157" s="51"/>
      <c r="BZ157" s="51"/>
      <c r="CA157" s="51"/>
      <c r="CB157" s="51"/>
      <c r="CC157" s="51"/>
      <c r="CD157" s="51"/>
      <c r="CE157" s="51"/>
      <c r="CF157" s="51"/>
      <c r="CG157" s="51"/>
      <c r="CH157" s="51"/>
      <c r="CI157" s="51"/>
      <c r="CJ157" s="51"/>
      <c r="CK157" s="51"/>
      <c r="CL157" s="51"/>
      <c r="CM157" s="51"/>
      <c r="CN157" s="51"/>
      <c r="CO157" s="51"/>
      <c r="CP157" s="51"/>
    </row>
    <row r="158" spans="20:94" s="49" customFormat="1" ht="13" customHeight="1">
      <c r="T158" s="51"/>
      <c r="U158" s="51"/>
      <c r="V158" s="51"/>
      <c r="W158" s="51"/>
      <c r="X158" s="51"/>
      <c r="Y158" s="51"/>
      <c r="Z158" s="5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51"/>
      <c r="AQ158" s="51"/>
      <c r="AR158" s="51"/>
      <c r="AS158" s="51"/>
      <c r="AT158" s="51"/>
      <c r="AU158" s="51"/>
      <c r="AV158" s="51"/>
      <c r="AW158" s="51"/>
      <c r="AX158" s="51"/>
      <c r="AY158" s="51"/>
      <c r="AZ158" s="51"/>
      <c r="BA158" s="51"/>
      <c r="BB158" s="51"/>
      <c r="BC158" s="51"/>
      <c r="BD158" s="51"/>
      <c r="BE158" s="51"/>
      <c r="BF158" s="51"/>
      <c r="BG158" s="51"/>
      <c r="BH158" s="51"/>
      <c r="BI158" s="51"/>
      <c r="BJ158" s="51"/>
      <c r="BK158" s="51"/>
      <c r="BL158" s="51"/>
      <c r="BM158" s="51"/>
      <c r="BN158" s="51"/>
      <c r="BO158" s="51"/>
      <c r="BP158" s="51"/>
      <c r="BQ158" s="51"/>
      <c r="BR158" s="51"/>
      <c r="BS158" s="51"/>
      <c r="BT158" s="51"/>
      <c r="BU158" s="51"/>
      <c r="BV158" s="51"/>
      <c r="BW158" s="51"/>
      <c r="BX158" s="51"/>
      <c r="BY158" s="51"/>
      <c r="BZ158" s="51"/>
      <c r="CA158" s="51"/>
      <c r="CB158" s="51"/>
      <c r="CC158" s="51"/>
      <c r="CD158" s="51"/>
      <c r="CE158" s="51"/>
      <c r="CF158" s="51"/>
      <c r="CG158" s="51"/>
      <c r="CH158" s="51"/>
      <c r="CI158" s="51"/>
      <c r="CJ158" s="51"/>
      <c r="CK158" s="51"/>
      <c r="CL158" s="51"/>
      <c r="CM158" s="51"/>
      <c r="CN158" s="51"/>
      <c r="CO158" s="51"/>
      <c r="CP158" s="51"/>
    </row>
    <row r="159" spans="20:94" s="49" customFormat="1" ht="13" customHeight="1">
      <c r="T159" s="51"/>
      <c r="U159" s="51"/>
      <c r="V159" s="51"/>
      <c r="W159" s="51"/>
      <c r="X159" s="51"/>
      <c r="Y159" s="51"/>
      <c r="Z159" s="5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51"/>
      <c r="AQ159" s="51"/>
      <c r="AR159" s="51"/>
      <c r="AS159" s="51"/>
      <c r="AT159" s="51"/>
      <c r="AU159" s="51"/>
      <c r="AV159" s="51"/>
      <c r="AW159" s="51"/>
      <c r="AX159" s="51"/>
      <c r="AY159" s="51"/>
      <c r="AZ159" s="51"/>
      <c r="BA159" s="51"/>
      <c r="BB159" s="51"/>
      <c r="BC159" s="51"/>
      <c r="BD159" s="51"/>
      <c r="BE159" s="51"/>
      <c r="BF159" s="51"/>
      <c r="BG159" s="51"/>
      <c r="BH159" s="51"/>
      <c r="BI159" s="51"/>
      <c r="BJ159" s="51"/>
      <c r="BK159" s="51"/>
      <c r="BL159" s="51"/>
      <c r="BM159" s="51"/>
      <c r="BN159" s="51"/>
      <c r="BO159" s="51"/>
      <c r="BP159" s="51"/>
      <c r="BQ159" s="51"/>
      <c r="BR159" s="51"/>
      <c r="BS159" s="51"/>
      <c r="BT159" s="51"/>
      <c r="BU159" s="51"/>
      <c r="BV159" s="51"/>
      <c r="BW159" s="51"/>
      <c r="BX159" s="51"/>
      <c r="BY159" s="51"/>
      <c r="BZ159" s="51"/>
      <c r="CA159" s="51"/>
      <c r="CB159" s="51"/>
      <c r="CC159" s="51"/>
      <c r="CD159" s="51"/>
      <c r="CE159" s="51"/>
      <c r="CF159" s="51"/>
      <c r="CG159" s="51"/>
      <c r="CH159" s="51"/>
      <c r="CI159" s="51"/>
      <c r="CJ159" s="51"/>
      <c r="CK159" s="51"/>
      <c r="CL159" s="51"/>
      <c r="CM159" s="51"/>
      <c r="CN159" s="51"/>
      <c r="CO159" s="51"/>
      <c r="CP159" s="51"/>
    </row>
    <row r="160" spans="20:94" s="49" customFormat="1" ht="13" customHeight="1">
      <c r="T160" s="51"/>
      <c r="U160" s="51"/>
      <c r="V160" s="51"/>
      <c r="W160" s="51"/>
      <c r="X160" s="51"/>
      <c r="Y160" s="51"/>
      <c r="Z160" s="5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51"/>
      <c r="AQ160" s="51"/>
      <c r="AR160" s="51"/>
      <c r="AS160" s="51"/>
      <c r="AT160" s="51"/>
      <c r="AU160" s="51"/>
      <c r="AV160" s="51"/>
      <c r="AW160" s="51"/>
      <c r="AX160" s="51"/>
      <c r="AY160" s="51"/>
      <c r="AZ160" s="51"/>
      <c r="BA160" s="51"/>
      <c r="BB160" s="51"/>
      <c r="BC160" s="51"/>
      <c r="BD160" s="51"/>
      <c r="BE160" s="51"/>
      <c r="BF160" s="51"/>
      <c r="BG160" s="51"/>
      <c r="BH160" s="51"/>
      <c r="BI160" s="51"/>
      <c r="BJ160" s="51"/>
      <c r="BK160" s="51"/>
      <c r="BL160" s="51"/>
      <c r="BM160" s="51"/>
      <c r="BN160" s="51"/>
      <c r="BO160" s="51"/>
      <c r="BP160" s="51"/>
      <c r="BQ160" s="51"/>
      <c r="BR160" s="51"/>
      <c r="BS160" s="51"/>
      <c r="BT160" s="51"/>
      <c r="BU160" s="51"/>
      <c r="BV160" s="51"/>
      <c r="BW160" s="51"/>
      <c r="BX160" s="51"/>
      <c r="BY160" s="51"/>
      <c r="BZ160" s="51"/>
      <c r="CA160" s="51"/>
      <c r="CB160" s="51"/>
      <c r="CC160" s="51"/>
      <c r="CD160" s="51"/>
      <c r="CE160" s="51"/>
      <c r="CF160" s="51"/>
      <c r="CG160" s="51"/>
      <c r="CH160" s="51"/>
      <c r="CI160" s="51"/>
      <c r="CJ160" s="51"/>
      <c r="CK160" s="51"/>
      <c r="CL160" s="51"/>
      <c r="CM160" s="51"/>
      <c r="CN160" s="51"/>
      <c r="CO160" s="51"/>
      <c r="CP160" s="51"/>
    </row>
    <row r="161" spans="20:94" s="49" customFormat="1" ht="13" customHeight="1">
      <c r="T161" s="51"/>
      <c r="U161" s="51"/>
      <c r="V161" s="51"/>
      <c r="W161" s="51"/>
      <c r="X161" s="51"/>
      <c r="Y161" s="51"/>
      <c r="Z161" s="5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51"/>
      <c r="AQ161" s="51"/>
      <c r="AR161" s="51"/>
      <c r="AS161" s="51"/>
      <c r="AT161" s="51"/>
      <c r="AU161" s="51"/>
      <c r="AV161" s="51"/>
      <c r="AW161" s="51"/>
      <c r="AX161" s="51"/>
      <c r="AY161" s="51"/>
      <c r="AZ161" s="51"/>
      <c r="BA161" s="51"/>
      <c r="BB161" s="51"/>
      <c r="BC161" s="51"/>
      <c r="BD161" s="51"/>
      <c r="BE161" s="51"/>
      <c r="BF161" s="51"/>
      <c r="BG161" s="51"/>
      <c r="BH161" s="51"/>
      <c r="BI161" s="51"/>
      <c r="BJ161" s="51"/>
      <c r="BK161" s="51"/>
      <c r="BL161" s="51"/>
      <c r="BM161" s="51"/>
      <c r="BN161" s="51"/>
      <c r="BO161" s="51"/>
      <c r="BP161" s="51"/>
      <c r="BQ161" s="51"/>
      <c r="BR161" s="51"/>
      <c r="BS161" s="51"/>
      <c r="BT161" s="51"/>
      <c r="BU161" s="51"/>
      <c r="BV161" s="51"/>
      <c r="BW161" s="51"/>
      <c r="BX161" s="51"/>
      <c r="BY161" s="51"/>
      <c r="BZ161" s="51"/>
      <c r="CA161" s="51"/>
      <c r="CB161" s="51"/>
      <c r="CC161" s="51"/>
      <c r="CD161" s="51"/>
      <c r="CE161" s="51"/>
      <c r="CF161" s="51"/>
      <c r="CG161" s="51"/>
      <c r="CH161" s="51"/>
      <c r="CI161" s="51"/>
      <c r="CJ161" s="51"/>
      <c r="CK161" s="51"/>
      <c r="CL161" s="51"/>
      <c r="CM161" s="51"/>
      <c r="CN161" s="51"/>
      <c r="CO161" s="51"/>
      <c r="CP161" s="51"/>
    </row>
    <row r="162" spans="20:94" s="49" customFormat="1" ht="13" customHeight="1">
      <c r="T162" s="51"/>
      <c r="U162" s="51"/>
      <c r="V162" s="51"/>
      <c r="W162" s="51"/>
      <c r="X162" s="51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51"/>
      <c r="AQ162" s="51"/>
      <c r="AR162" s="51"/>
      <c r="AS162" s="51"/>
      <c r="AT162" s="51"/>
      <c r="AU162" s="51"/>
      <c r="AV162" s="51"/>
      <c r="AW162" s="51"/>
      <c r="AX162" s="51"/>
      <c r="AY162" s="51"/>
      <c r="AZ162" s="51"/>
      <c r="BA162" s="51"/>
      <c r="BB162" s="51"/>
      <c r="BC162" s="51"/>
      <c r="BD162" s="51"/>
      <c r="BE162" s="51"/>
      <c r="BF162" s="51"/>
      <c r="BG162" s="51"/>
      <c r="BH162" s="51"/>
      <c r="BI162" s="51"/>
      <c r="BJ162" s="51"/>
      <c r="BK162" s="51"/>
      <c r="BL162" s="51"/>
      <c r="BM162" s="51"/>
      <c r="BN162" s="51"/>
      <c r="BO162" s="51"/>
      <c r="BP162" s="51"/>
      <c r="BQ162" s="51"/>
      <c r="BR162" s="51"/>
      <c r="BS162" s="51"/>
      <c r="BT162" s="51"/>
      <c r="BU162" s="51"/>
      <c r="BV162" s="51"/>
      <c r="BW162" s="51"/>
      <c r="BX162" s="51"/>
      <c r="BY162" s="51"/>
      <c r="BZ162" s="51"/>
      <c r="CA162" s="51"/>
      <c r="CB162" s="51"/>
      <c r="CC162" s="51"/>
      <c r="CD162" s="51"/>
      <c r="CE162" s="51"/>
      <c r="CF162" s="51"/>
      <c r="CG162" s="51"/>
      <c r="CH162" s="51"/>
      <c r="CI162" s="51"/>
      <c r="CJ162" s="51"/>
      <c r="CK162" s="51"/>
      <c r="CL162" s="51"/>
      <c r="CM162" s="51"/>
      <c r="CN162" s="51"/>
      <c r="CO162" s="51"/>
      <c r="CP162" s="51"/>
    </row>
    <row r="163" spans="20:94" s="49" customFormat="1" ht="13" customHeight="1">
      <c r="T163" s="51"/>
      <c r="U163" s="51"/>
      <c r="V163" s="51"/>
      <c r="W163" s="51"/>
      <c r="X163" s="51"/>
      <c r="Y163" s="51"/>
      <c r="Z163" s="5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51"/>
      <c r="AQ163" s="51"/>
      <c r="AR163" s="51"/>
      <c r="AS163" s="51"/>
      <c r="AT163" s="51"/>
      <c r="AU163" s="51"/>
      <c r="AV163" s="51"/>
      <c r="AW163" s="51"/>
      <c r="AX163" s="51"/>
      <c r="AY163" s="51"/>
      <c r="AZ163" s="51"/>
      <c r="BA163" s="51"/>
      <c r="BB163" s="51"/>
      <c r="BC163" s="51"/>
      <c r="BD163" s="51"/>
      <c r="BE163" s="51"/>
      <c r="BF163" s="51"/>
      <c r="BG163" s="51"/>
      <c r="BH163" s="51"/>
      <c r="BI163" s="51"/>
      <c r="BJ163" s="51"/>
      <c r="BK163" s="51"/>
      <c r="BL163" s="51"/>
      <c r="BM163" s="51"/>
      <c r="BN163" s="51"/>
      <c r="BO163" s="51"/>
      <c r="BP163" s="51"/>
      <c r="BQ163" s="51"/>
      <c r="BR163" s="51"/>
      <c r="BS163" s="51"/>
      <c r="BT163" s="51"/>
      <c r="BU163" s="51"/>
      <c r="BV163" s="51"/>
      <c r="BW163" s="51"/>
      <c r="BX163" s="51"/>
      <c r="BY163" s="51"/>
      <c r="BZ163" s="51"/>
      <c r="CA163" s="51"/>
      <c r="CB163" s="51"/>
      <c r="CC163" s="51"/>
      <c r="CD163" s="51"/>
      <c r="CE163" s="51"/>
      <c r="CF163" s="51"/>
      <c r="CG163" s="51"/>
      <c r="CH163" s="51"/>
      <c r="CI163" s="51"/>
      <c r="CJ163" s="51"/>
      <c r="CK163" s="51"/>
      <c r="CL163" s="51"/>
      <c r="CM163" s="51"/>
      <c r="CN163" s="51"/>
      <c r="CO163" s="51"/>
      <c r="CP163" s="51"/>
    </row>
    <row r="164" spans="20:94" s="49" customFormat="1" ht="13" customHeight="1">
      <c r="T164" s="51"/>
      <c r="U164" s="51"/>
      <c r="V164" s="51"/>
      <c r="W164" s="51"/>
      <c r="X164" s="51"/>
      <c r="Y164" s="51"/>
      <c r="Z164" s="5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51"/>
      <c r="AQ164" s="51"/>
      <c r="AR164" s="51"/>
      <c r="AS164" s="51"/>
      <c r="AT164" s="51"/>
      <c r="AU164" s="51"/>
      <c r="AV164" s="51"/>
      <c r="AW164" s="51"/>
      <c r="AX164" s="51"/>
      <c r="AY164" s="51"/>
      <c r="AZ164" s="51"/>
      <c r="BA164" s="51"/>
      <c r="BB164" s="51"/>
      <c r="BC164" s="51"/>
      <c r="BD164" s="51"/>
      <c r="BE164" s="51"/>
      <c r="BF164" s="51"/>
      <c r="BG164" s="51"/>
      <c r="BH164" s="51"/>
      <c r="BI164" s="51"/>
      <c r="BJ164" s="51"/>
      <c r="BK164" s="51"/>
      <c r="BL164" s="51"/>
      <c r="BM164" s="51"/>
      <c r="BN164" s="51"/>
      <c r="BO164" s="51"/>
      <c r="BP164" s="51"/>
      <c r="BQ164" s="51"/>
      <c r="BR164" s="51"/>
      <c r="BS164" s="51"/>
      <c r="BT164" s="51"/>
      <c r="BU164" s="51"/>
      <c r="BV164" s="51"/>
      <c r="BW164" s="51"/>
      <c r="BX164" s="51"/>
      <c r="BY164" s="51"/>
      <c r="BZ164" s="51"/>
      <c r="CA164" s="51"/>
      <c r="CB164" s="51"/>
      <c r="CC164" s="51"/>
      <c r="CD164" s="51"/>
      <c r="CE164" s="51"/>
      <c r="CF164" s="51"/>
      <c r="CG164" s="51"/>
      <c r="CH164" s="51"/>
      <c r="CI164" s="51"/>
      <c r="CJ164" s="51"/>
      <c r="CK164" s="51"/>
      <c r="CL164" s="51"/>
      <c r="CM164" s="51"/>
      <c r="CN164" s="51"/>
      <c r="CO164" s="51"/>
      <c r="CP164" s="51"/>
    </row>
    <row r="165" spans="20:94" s="49" customFormat="1" ht="13" customHeight="1">
      <c r="T165" s="51"/>
      <c r="U165" s="51"/>
      <c r="V165" s="51"/>
      <c r="W165" s="51"/>
      <c r="X165" s="51"/>
      <c r="Y165" s="51"/>
      <c r="Z165" s="5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51"/>
      <c r="AQ165" s="51"/>
      <c r="AR165" s="51"/>
      <c r="AS165" s="51"/>
      <c r="AT165" s="51"/>
      <c r="AU165" s="51"/>
      <c r="AV165" s="51"/>
      <c r="AW165" s="51"/>
      <c r="AX165" s="51"/>
      <c r="AY165" s="51"/>
      <c r="AZ165" s="51"/>
      <c r="BA165" s="51"/>
      <c r="BB165" s="51"/>
      <c r="BC165" s="51"/>
      <c r="BD165" s="51"/>
      <c r="BE165" s="51"/>
      <c r="BF165" s="51"/>
      <c r="BG165" s="51"/>
      <c r="BH165" s="51"/>
      <c r="BI165" s="51"/>
      <c r="BJ165" s="51"/>
      <c r="BK165" s="51"/>
      <c r="BL165" s="51"/>
      <c r="BM165" s="51"/>
      <c r="BN165" s="51"/>
      <c r="BO165" s="51"/>
      <c r="BP165" s="51"/>
      <c r="BQ165" s="51"/>
      <c r="BR165" s="51"/>
      <c r="BS165" s="51"/>
      <c r="BT165" s="51"/>
      <c r="BU165" s="51"/>
      <c r="BV165" s="51"/>
      <c r="BW165" s="51"/>
      <c r="BX165" s="51"/>
      <c r="BY165" s="51"/>
      <c r="BZ165" s="51"/>
      <c r="CA165" s="51"/>
      <c r="CB165" s="51"/>
      <c r="CC165" s="51"/>
      <c r="CD165" s="51"/>
      <c r="CE165" s="51"/>
      <c r="CF165" s="51"/>
      <c r="CG165" s="51"/>
      <c r="CH165" s="51"/>
      <c r="CI165" s="51"/>
      <c r="CJ165" s="51"/>
      <c r="CK165" s="51"/>
      <c r="CL165" s="51"/>
      <c r="CM165" s="51"/>
      <c r="CN165" s="51"/>
      <c r="CO165" s="51"/>
      <c r="CP165" s="51"/>
    </row>
    <row r="166" spans="20:94" s="49" customFormat="1" ht="13" customHeight="1">
      <c r="T166" s="51"/>
      <c r="U166" s="51"/>
      <c r="V166" s="51"/>
      <c r="W166" s="51"/>
      <c r="X166" s="51"/>
      <c r="Y166" s="51"/>
      <c r="Z166" s="5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51"/>
      <c r="AQ166" s="51"/>
      <c r="AR166" s="51"/>
      <c r="AS166" s="51"/>
      <c r="AT166" s="51"/>
      <c r="AU166" s="51"/>
      <c r="AV166" s="51"/>
      <c r="AW166" s="51"/>
      <c r="AX166" s="51"/>
      <c r="AY166" s="51"/>
      <c r="AZ166" s="51"/>
      <c r="BA166" s="51"/>
      <c r="BB166" s="51"/>
      <c r="BC166" s="51"/>
      <c r="BD166" s="51"/>
      <c r="BE166" s="51"/>
      <c r="BF166" s="51"/>
      <c r="BG166" s="51"/>
      <c r="BH166" s="51"/>
      <c r="BI166" s="51"/>
      <c r="BJ166" s="51"/>
      <c r="BK166" s="51"/>
      <c r="BL166" s="51"/>
      <c r="BM166" s="51"/>
      <c r="BN166" s="51"/>
      <c r="BO166" s="51"/>
      <c r="BP166" s="51"/>
      <c r="BQ166" s="51"/>
      <c r="BR166" s="51"/>
      <c r="BS166" s="51"/>
      <c r="BT166" s="51"/>
      <c r="BU166" s="51"/>
      <c r="BV166" s="51"/>
      <c r="BW166" s="51"/>
      <c r="BX166" s="51"/>
      <c r="BY166" s="51"/>
      <c r="BZ166" s="51"/>
      <c r="CA166" s="51"/>
      <c r="CB166" s="51"/>
      <c r="CC166" s="51"/>
      <c r="CD166" s="51"/>
      <c r="CE166" s="51"/>
      <c r="CF166" s="51"/>
      <c r="CG166" s="51"/>
      <c r="CH166" s="51"/>
      <c r="CI166" s="51"/>
      <c r="CJ166" s="51"/>
      <c r="CK166" s="51"/>
      <c r="CL166" s="51"/>
      <c r="CM166" s="51"/>
      <c r="CN166" s="51"/>
      <c r="CO166" s="51"/>
      <c r="CP166" s="51"/>
    </row>
    <row r="167" spans="20:94" s="49" customFormat="1" ht="13" customHeight="1">
      <c r="T167" s="51"/>
      <c r="U167" s="51"/>
      <c r="V167" s="51"/>
      <c r="W167" s="51"/>
      <c r="X167" s="51"/>
      <c r="Y167" s="51"/>
      <c r="Z167" s="5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51"/>
      <c r="AQ167" s="51"/>
      <c r="AR167" s="51"/>
      <c r="AS167" s="51"/>
      <c r="AT167" s="51"/>
      <c r="AU167" s="51"/>
      <c r="AV167" s="51"/>
      <c r="AW167" s="51"/>
      <c r="AX167" s="51"/>
      <c r="AY167" s="51"/>
      <c r="AZ167" s="51"/>
      <c r="BA167" s="51"/>
      <c r="BB167" s="51"/>
      <c r="BC167" s="51"/>
      <c r="BD167" s="51"/>
      <c r="BE167" s="51"/>
      <c r="BF167" s="51"/>
      <c r="BG167" s="51"/>
      <c r="BH167" s="51"/>
      <c r="BI167" s="51"/>
      <c r="BJ167" s="51"/>
      <c r="BK167" s="51"/>
      <c r="BL167" s="51"/>
      <c r="BM167" s="51"/>
      <c r="BN167" s="51"/>
      <c r="BO167" s="51"/>
      <c r="BP167" s="51"/>
      <c r="BQ167" s="51"/>
      <c r="BR167" s="51"/>
      <c r="BS167" s="51"/>
      <c r="BT167" s="51"/>
      <c r="BU167" s="51"/>
      <c r="BV167" s="51"/>
      <c r="BW167" s="51"/>
      <c r="BX167" s="51"/>
      <c r="BY167" s="51"/>
      <c r="BZ167" s="51"/>
      <c r="CA167" s="51"/>
      <c r="CB167" s="51"/>
      <c r="CC167" s="51"/>
      <c r="CD167" s="51"/>
      <c r="CE167" s="51"/>
      <c r="CF167" s="51"/>
      <c r="CG167" s="51"/>
      <c r="CH167" s="51"/>
      <c r="CI167" s="51"/>
      <c r="CJ167" s="51"/>
      <c r="CK167" s="51"/>
      <c r="CL167" s="51"/>
      <c r="CM167" s="51"/>
      <c r="CN167" s="51"/>
      <c r="CO167" s="51"/>
      <c r="CP167" s="51"/>
    </row>
    <row r="168" spans="20:94" s="49" customFormat="1" ht="13" customHeight="1"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51"/>
      <c r="AQ168" s="51"/>
      <c r="AR168" s="51"/>
      <c r="AS168" s="51"/>
      <c r="AT168" s="51"/>
      <c r="AU168" s="51"/>
      <c r="AV168" s="51"/>
      <c r="AW168" s="51"/>
      <c r="AX168" s="51"/>
      <c r="AY168" s="51"/>
      <c r="AZ168" s="51"/>
      <c r="BA168" s="51"/>
      <c r="BB168" s="51"/>
      <c r="BC168" s="51"/>
      <c r="BD168" s="51"/>
      <c r="BE168" s="51"/>
      <c r="BF168" s="51"/>
      <c r="BG168" s="51"/>
      <c r="BH168" s="51"/>
      <c r="BI168" s="51"/>
      <c r="BJ168" s="51"/>
      <c r="BK168" s="51"/>
      <c r="BL168" s="51"/>
      <c r="BM168" s="51"/>
      <c r="BN168" s="51"/>
      <c r="BO168" s="51"/>
      <c r="BP168" s="51"/>
      <c r="BQ168" s="51"/>
      <c r="BR168" s="51"/>
      <c r="BS168" s="51"/>
      <c r="BT168" s="51"/>
      <c r="BU168" s="51"/>
      <c r="BV168" s="51"/>
      <c r="BW168" s="51"/>
      <c r="BX168" s="51"/>
      <c r="BY168" s="51"/>
      <c r="BZ168" s="51"/>
      <c r="CA168" s="51"/>
      <c r="CB168" s="51"/>
      <c r="CC168" s="51"/>
      <c r="CD168" s="51"/>
      <c r="CE168" s="51"/>
      <c r="CF168" s="51"/>
      <c r="CG168" s="51"/>
      <c r="CH168" s="51"/>
      <c r="CI168" s="51"/>
      <c r="CJ168" s="51"/>
      <c r="CK168" s="51"/>
      <c r="CL168" s="51"/>
      <c r="CM168" s="51"/>
      <c r="CN168" s="51"/>
      <c r="CO168" s="51"/>
      <c r="CP168" s="51"/>
    </row>
    <row r="169" spans="20:94" s="49" customFormat="1" ht="13" customHeight="1"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51"/>
      <c r="AQ169" s="51"/>
      <c r="AR169" s="51"/>
      <c r="AS169" s="51"/>
      <c r="AT169" s="51"/>
      <c r="AU169" s="51"/>
      <c r="AV169" s="51"/>
      <c r="AW169" s="51"/>
      <c r="AX169" s="51"/>
      <c r="AY169" s="51"/>
      <c r="AZ169" s="51"/>
      <c r="BA169" s="51"/>
      <c r="BB169" s="51"/>
      <c r="BC169" s="51"/>
      <c r="BD169" s="51"/>
      <c r="BE169" s="51"/>
      <c r="BF169" s="51"/>
      <c r="BG169" s="51"/>
      <c r="BH169" s="51"/>
      <c r="BI169" s="51"/>
      <c r="BJ169" s="51"/>
      <c r="BK169" s="51"/>
      <c r="BL169" s="51"/>
      <c r="BM169" s="51"/>
      <c r="BN169" s="51"/>
      <c r="BO169" s="51"/>
      <c r="BP169" s="51"/>
      <c r="BQ169" s="51"/>
      <c r="BR169" s="51"/>
      <c r="BS169" s="51"/>
      <c r="BT169" s="51"/>
      <c r="BU169" s="51"/>
      <c r="BV169" s="51"/>
      <c r="BW169" s="51"/>
      <c r="BX169" s="51"/>
      <c r="BY169" s="51"/>
      <c r="BZ169" s="51"/>
      <c r="CA169" s="51"/>
      <c r="CB169" s="51"/>
      <c r="CC169" s="51"/>
      <c r="CD169" s="51"/>
      <c r="CE169" s="51"/>
      <c r="CF169" s="51"/>
      <c r="CG169" s="51"/>
      <c r="CH169" s="51"/>
      <c r="CI169" s="51"/>
      <c r="CJ169" s="51"/>
      <c r="CK169" s="51"/>
      <c r="CL169" s="51"/>
      <c r="CM169" s="51"/>
      <c r="CN169" s="51"/>
      <c r="CO169" s="51"/>
      <c r="CP169" s="51"/>
    </row>
    <row r="170" spans="20:94" s="49" customFormat="1" ht="13" customHeight="1"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51"/>
      <c r="AQ170" s="51"/>
      <c r="AR170" s="51"/>
      <c r="AS170" s="51"/>
      <c r="AT170" s="51"/>
      <c r="AU170" s="51"/>
      <c r="AV170" s="51"/>
      <c r="AW170" s="51"/>
      <c r="AX170" s="51"/>
      <c r="AY170" s="51"/>
      <c r="AZ170" s="51"/>
      <c r="BA170" s="51"/>
      <c r="BB170" s="51"/>
      <c r="BC170" s="51"/>
      <c r="BD170" s="51"/>
      <c r="BE170" s="51"/>
      <c r="BF170" s="51"/>
      <c r="BG170" s="51"/>
      <c r="BH170" s="51"/>
      <c r="BI170" s="51"/>
      <c r="BJ170" s="51"/>
      <c r="BK170" s="51"/>
      <c r="BL170" s="51"/>
      <c r="BM170" s="51"/>
      <c r="BN170" s="51"/>
      <c r="BO170" s="51"/>
      <c r="BP170" s="51"/>
      <c r="BQ170" s="51"/>
      <c r="BR170" s="51"/>
      <c r="BS170" s="51"/>
      <c r="BT170" s="51"/>
      <c r="BU170" s="51"/>
      <c r="BV170" s="51"/>
      <c r="BW170" s="51"/>
      <c r="BX170" s="51"/>
      <c r="BY170" s="51"/>
      <c r="BZ170" s="51"/>
      <c r="CA170" s="51"/>
      <c r="CB170" s="51"/>
      <c r="CC170" s="51"/>
      <c r="CD170" s="51"/>
      <c r="CE170" s="51"/>
      <c r="CF170" s="51"/>
      <c r="CG170" s="51"/>
      <c r="CH170" s="51"/>
      <c r="CI170" s="51"/>
      <c r="CJ170" s="51"/>
      <c r="CK170" s="51"/>
      <c r="CL170" s="51"/>
      <c r="CM170" s="51"/>
      <c r="CN170" s="51"/>
      <c r="CO170" s="51"/>
      <c r="CP170" s="51"/>
    </row>
    <row r="171" spans="20:94" s="49" customFormat="1" ht="13" customHeight="1">
      <c r="T171" s="51"/>
      <c r="U171" s="51"/>
      <c r="V171" s="51"/>
      <c r="W171" s="51"/>
      <c r="X171" s="51"/>
      <c r="Y171" s="51"/>
      <c r="Z171" s="5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51"/>
      <c r="AQ171" s="51"/>
      <c r="AR171" s="51"/>
      <c r="AS171" s="51"/>
      <c r="AT171" s="51"/>
      <c r="AU171" s="51"/>
      <c r="AV171" s="51"/>
      <c r="AW171" s="51"/>
      <c r="AX171" s="51"/>
      <c r="AY171" s="51"/>
      <c r="AZ171" s="51"/>
      <c r="BA171" s="51"/>
      <c r="BB171" s="51"/>
      <c r="BC171" s="51"/>
      <c r="BD171" s="51"/>
      <c r="BE171" s="51"/>
      <c r="BF171" s="51"/>
      <c r="BG171" s="51"/>
      <c r="BH171" s="51"/>
      <c r="BI171" s="51"/>
      <c r="BJ171" s="51"/>
      <c r="BK171" s="51"/>
      <c r="BL171" s="51"/>
      <c r="BM171" s="51"/>
      <c r="BN171" s="51"/>
      <c r="BO171" s="51"/>
      <c r="BP171" s="51"/>
      <c r="BQ171" s="51"/>
      <c r="BR171" s="51"/>
      <c r="BS171" s="51"/>
      <c r="BT171" s="51"/>
      <c r="BU171" s="51"/>
      <c r="BV171" s="51"/>
      <c r="BW171" s="51"/>
      <c r="BX171" s="51"/>
      <c r="BY171" s="51"/>
      <c r="BZ171" s="51"/>
      <c r="CA171" s="51"/>
      <c r="CB171" s="51"/>
      <c r="CC171" s="51"/>
      <c r="CD171" s="51"/>
      <c r="CE171" s="51"/>
      <c r="CF171" s="51"/>
      <c r="CG171" s="51"/>
      <c r="CH171" s="51"/>
      <c r="CI171" s="51"/>
      <c r="CJ171" s="51"/>
      <c r="CK171" s="51"/>
      <c r="CL171" s="51"/>
      <c r="CM171" s="51"/>
      <c r="CN171" s="51"/>
      <c r="CO171" s="51"/>
      <c r="CP171" s="51"/>
    </row>
    <row r="172" spans="20:94" s="49" customFormat="1" ht="13" customHeight="1">
      <c r="T172" s="51"/>
      <c r="U172" s="51"/>
      <c r="V172" s="51"/>
      <c r="W172" s="51"/>
      <c r="X172" s="51"/>
      <c r="Y172" s="51"/>
      <c r="Z172" s="5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51"/>
      <c r="AQ172" s="51"/>
      <c r="AR172" s="51"/>
      <c r="AS172" s="51"/>
      <c r="AT172" s="51"/>
      <c r="AU172" s="51"/>
      <c r="AV172" s="51"/>
      <c r="AW172" s="51"/>
      <c r="AX172" s="51"/>
      <c r="AY172" s="51"/>
      <c r="AZ172" s="51"/>
      <c r="BA172" s="51"/>
      <c r="BB172" s="51"/>
      <c r="BC172" s="51"/>
      <c r="BD172" s="51"/>
      <c r="BE172" s="51"/>
      <c r="BF172" s="51"/>
      <c r="BG172" s="51"/>
      <c r="BH172" s="51"/>
      <c r="BI172" s="51"/>
      <c r="BJ172" s="51"/>
      <c r="BK172" s="51"/>
      <c r="BL172" s="51"/>
      <c r="BM172" s="51"/>
      <c r="BN172" s="51"/>
      <c r="BO172" s="51"/>
      <c r="BP172" s="51"/>
      <c r="BQ172" s="51"/>
      <c r="BR172" s="51"/>
      <c r="BS172" s="51"/>
      <c r="BT172" s="51"/>
      <c r="BU172" s="51"/>
      <c r="BV172" s="51"/>
      <c r="BW172" s="51"/>
      <c r="BX172" s="51"/>
      <c r="BY172" s="51"/>
      <c r="BZ172" s="51"/>
      <c r="CA172" s="51"/>
      <c r="CB172" s="51"/>
      <c r="CC172" s="51"/>
      <c r="CD172" s="51"/>
      <c r="CE172" s="51"/>
      <c r="CF172" s="51"/>
      <c r="CG172" s="51"/>
      <c r="CH172" s="51"/>
      <c r="CI172" s="51"/>
      <c r="CJ172" s="51"/>
      <c r="CK172" s="51"/>
      <c r="CL172" s="51"/>
      <c r="CM172" s="51"/>
      <c r="CN172" s="51"/>
      <c r="CO172" s="51"/>
      <c r="CP172" s="51"/>
    </row>
    <row r="173" spans="20:94" s="49" customFormat="1" ht="13" customHeight="1"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51"/>
      <c r="AS173" s="51"/>
      <c r="AT173" s="51"/>
      <c r="AU173" s="51"/>
      <c r="AV173" s="51"/>
      <c r="AW173" s="51"/>
      <c r="AX173" s="51"/>
      <c r="AY173" s="51"/>
      <c r="AZ173" s="51"/>
      <c r="BA173" s="51"/>
      <c r="BB173" s="51"/>
      <c r="BC173" s="51"/>
      <c r="BD173" s="51"/>
      <c r="BE173" s="51"/>
      <c r="BF173" s="51"/>
      <c r="BG173" s="51"/>
      <c r="BH173" s="51"/>
      <c r="BI173" s="51"/>
      <c r="BJ173" s="51"/>
      <c r="BK173" s="51"/>
      <c r="BL173" s="51"/>
      <c r="BM173" s="51"/>
      <c r="BN173" s="51"/>
      <c r="BO173" s="51"/>
      <c r="BP173" s="51"/>
      <c r="BQ173" s="51"/>
      <c r="BR173" s="51"/>
      <c r="BS173" s="51"/>
      <c r="BT173" s="51"/>
      <c r="BU173" s="51"/>
      <c r="BV173" s="51"/>
      <c r="BW173" s="51"/>
      <c r="BX173" s="51"/>
      <c r="BY173" s="51"/>
      <c r="BZ173" s="51"/>
      <c r="CA173" s="51"/>
      <c r="CB173" s="51"/>
      <c r="CC173" s="51"/>
      <c r="CD173" s="51"/>
      <c r="CE173" s="51"/>
      <c r="CF173" s="51"/>
      <c r="CG173" s="51"/>
      <c r="CH173" s="51"/>
      <c r="CI173" s="51"/>
      <c r="CJ173" s="51"/>
      <c r="CK173" s="51"/>
      <c r="CL173" s="51"/>
      <c r="CM173" s="51"/>
      <c r="CN173" s="51"/>
      <c r="CO173" s="51"/>
      <c r="CP173" s="51"/>
    </row>
    <row r="174" spans="20:94" s="49" customFormat="1" ht="13" customHeight="1">
      <c r="T174" s="51"/>
      <c r="U174" s="51"/>
      <c r="V174" s="51"/>
      <c r="W174" s="51"/>
      <c r="X174" s="51"/>
      <c r="Y174" s="51"/>
      <c r="Z174" s="5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51"/>
      <c r="AQ174" s="51"/>
      <c r="AR174" s="51"/>
      <c r="AS174" s="51"/>
      <c r="AT174" s="51"/>
      <c r="AU174" s="51"/>
      <c r="AV174" s="51"/>
      <c r="AW174" s="51"/>
      <c r="AX174" s="51"/>
      <c r="AY174" s="51"/>
      <c r="AZ174" s="51"/>
      <c r="BA174" s="51"/>
      <c r="BB174" s="51"/>
      <c r="BC174" s="51"/>
      <c r="BD174" s="51"/>
      <c r="BE174" s="51"/>
      <c r="BF174" s="51"/>
      <c r="BG174" s="51"/>
      <c r="BH174" s="51"/>
      <c r="BI174" s="51"/>
      <c r="BJ174" s="51"/>
      <c r="BK174" s="51"/>
      <c r="BL174" s="51"/>
      <c r="BM174" s="51"/>
      <c r="BN174" s="51"/>
      <c r="BO174" s="51"/>
      <c r="BP174" s="51"/>
      <c r="BQ174" s="51"/>
      <c r="BR174" s="51"/>
      <c r="BS174" s="51"/>
      <c r="BT174" s="51"/>
      <c r="BU174" s="51"/>
      <c r="BV174" s="51"/>
      <c r="BW174" s="51"/>
      <c r="BX174" s="51"/>
      <c r="BY174" s="51"/>
      <c r="BZ174" s="51"/>
      <c r="CA174" s="51"/>
      <c r="CB174" s="51"/>
      <c r="CC174" s="51"/>
      <c r="CD174" s="51"/>
      <c r="CE174" s="51"/>
      <c r="CF174" s="51"/>
      <c r="CG174" s="51"/>
      <c r="CH174" s="51"/>
      <c r="CI174" s="51"/>
      <c r="CJ174" s="51"/>
      <c r="CK174" s="51"/>
      <c r="CL174" s="51"/>
      <c r="CM174" s="51"/>
      <c r="CN174" s="51"/>
      <c r="CO174" s="51"/>
      <c r="CP174" s="51"/>
    </row>
    <row r="175" spans="20:94" s="49" customFormat="1" ht="13" customHeight="1"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51"/>
      <c r="AQ175" s="51"/>
      <c r="AR175" s="51"/>
      <c r="AS175" s="51"/>
      <c r="AT175" s="51"/>
      <c r="AU175" s="51"/>
      <c r="AV175" s="51"/>
      <c r="AW175" s="51"/>
      <c r="AX175" s="51"/>
      <c r="AY175" s="51"/>
      <c r="AZ175" s="51"/>
      <c r="BA175" s="51"/>
      <c r="BB175" s="51"/>
      <c r="BC175" s="51"/>
      <c r="BD175" s="51"/>
      <c r="BE175" s="51"/>
      <c r="BF175" s="51"/>
      <c r="BG175" s="51"/>
      <c r="BH175" s="51"/>
      <c r="BI175" s="51"/>
      <c r="BJ175" s="51"/>
      <c r="BK175" s="51"/>
      <c r="BL175" s="51"/>
      <c r="BM175" s="51"/>
      <c r="BN175" s="51"/>
      <c r="BO175" s="51"/>
      <c r="BP175" s="51"/>
      <c r="BQ175" s="51"/>
      <c r="BR175" s="51"/>
      <c r="BS175" s="51"/>
      <c r="BT175" s="51"/>
      <c r="BU175" s="51"/>
      <c r="BV175" s="51"/>
      <c r="BW175" s="51"/>
      <c r="BX175" s="51"/>
      <c r="BY175" s="51"/>
      <c r="BZ175" s="51"/>
      <c r="CA175" s="51"/>
      <c r="CB175" s="51"/>
      <c r="CC175" s="51"/>
      <c r="CD175" s="51"/>
      <c r="CE175" s="51"/>
      <c r="CF175" s="51"/>
      <c r="CG175" s="51"/>
      <c r="CH175" s="51"/>
      <c r="CI175" s="51"/>
      <c r="CJ175" s="51"/>
      <c r="CK175" s="51"/>
      <c r="CL175" s="51"/>
      <c r="CM175" s="51"/>
      <c r="CN175" s="51"/>
      <c r="CO175" s="51"/>
      <c r="CP175" s="51"/>
    </row>
    <row r="176" spans="20:94" s="49" customFormat="1" ht="13" customHeight="1"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51"/>
      <c r="AQ176" s="51"/>
      <c r="AR176" s="51"/>
      <c r="AS176" s="51"/>
      <c r="AT176" s="51"/>
      <c r="AU176" s="51"/>
      <c r="AV176" s="51"/>
      <c r="AW176" s="51"/>
      <c r="AX176" s="51"/>
      <c r="AY176" s="51"/>
      <c r="AZ176" s="51"/>
      <c r="BA176" s="51"/>
      <c r="BB176" s="51"/>
      <c r="BC176" s="51"/>
      <c r="BD176" s="51"/>
      <c r="BE176" s="51"/>
      <c r="BF176" s="51"/>
      <c r="BG176" s="51"/>
      <c r="BH176" s="51"/>
      <c r="BI176" s="51"/>
      <c r="BJ176" s="51"/>
      <c r="BK176" s="51"/>
      <c r="BL176" s="51"/>
      <c r="BM176" s="51"/>
      <c r="BN176" s="51"/>
      <c r="BO176" s="51"/>
      <c r="BP176" s="51"/>
      <c r="BQ176" s="51"/>
      <c r="BR176" s="51"/>
      <c r="BS176" s="51"/>
      <c r="BT176" s="51"/>
      <c r="BU176" s="51"/>
      <c r="BV176" s="51"/>
      <c r="BW176" s="51"/>
      <c r="BX176" s="51"/>
      <c r="BY176" s="51"/>
      <c r="BZ176" s="51"/>
      <c r="CA176" s="51"/>
      <c r="CB176" s="51"/>
      <c r="CC176" s="51"/>
      <c r="CD176" s="51"/>
      <c r="CE176" s="51"/>
      <c r="CF176" s="51"/>
      <c r="CG176" s="51"/>
      <c r="CH176" s="51"/>
      <c r="CI176" s="51"/>
      <c r="CJ176" s="51"/>
      <c r="CK176" s="51"/>
      <c r="CL176" s="51"/>
      <c r="CM176" s="51"/>
      <c r="CN176" s="51"/>
      <c r="CO176" s="51"/>
      <c r="CP176" s="51"/>
    </row>
    <row r="177" spans="20:94" s="49" customFormat="1" ht="13" customHeight="1"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51"/>
      <c r="AQ177" s="51"/>
      <c r="AR177" s="51"/>
      <c r="AS177" s="51"/>
      <c r="AT177" s="51"/>
      <c r="AU177" s="51"/>
      <c r="AV177" s="51"/>
      <c r="AW177" s="51"/>
      <c r="AX177" s="51"/>
      <c r="AY177" s="51"/>
      <c r="AZ177" s="51"/>
      <c r="BA177" s="51"/>
      <c r="BB177" s="51"/>
      <c r="BC177" s="51"/>
      <c r="BD177" s="51"/>
      <c r="BE177" s="51"/>
      <c r="BF177" s="51"/>
      <c r="BG177" s="51"/>
      <c r="BH177" s="51"/>
      <c r="BI177" s="51"/>
      <c r="BJ177" s="51"/>
      <c r="BK177" s="51"/>
      <c r="BL177" s="51"/>
      <c r="BM177" s="51"/>
      <c r="BN177" s="51"/>
      <c r="BO177" s="51"/>
      <c r="BP177" s="51"/>
      <c r="BQ177" s="51"/>
      <c r="BR177" s="51"/>
      <c r="BS177" s="51"/>
      <c r="BT177" s="51"/>
      <c r="BU177" s="51"/>
      <c r="BV177" s="51"/>
      <c r="BW177" s="51"/>
      <c r="BX177" s="51"/>
      <c r="BY177" s="51"/>
      <c r="BZ177" s="51"/>
      <c r="CA177" s="51"/>
      <c r="CB177" s="51"/>
      <c r="CC177" s="51"/>
      <c r="CD177" s="51"/>
      <c r="CE177" s="51"/>
      <c r="CF177" s="51"/>
      <c r="CG177" s="51"/>
      <c r="CH177" s="51"/>
      <c r="CI177" s="51"/>
      <c r="CJ177" s="51"/>
      <c r="CK177" s="51"/>
      <c r="CL177" s="51"/>
      <c r="CM177" s="51"/>
      <c r="CN177" s="51"/>
      <c r="CO177" s="51"/>
      <c r="CP177" s="51"/>
    </row>
    <row r="178" spans="20:94" s="49" customFormat="1" ht="13" customHeight="1">
      <c r="T178" s="51"/>
      <c r="U178" s="51"/>
      <c r="V178" s="51"/>
      <c r="W178" s="51"/>
      <c r="X178" s="51"/>
      <c r="Y178" s="51"/>
      <c r="Z178" s="5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51"/>
      <c r="AQ178" s="51"/>
      <c r="AR178" s="51"/>
      <c r="AS178" s="51"/>
      <c r="AT178" s="51"/>
      <c r="AU178" s="51"/>
      <c r="AV178" s="51"/>
      <c r="AW178" s="51"/>
      <c r="AX178" s="51"/>
      <c r="AY178" s="51"/>
      <c r="AZ178" s="51"/>
      <c r="BA178" s="51"/>
      <c r="BB178" s="51"/>
      <c r="BC178" s="51"/>
      <c r="BD178" s="51"/>
      <c r="BE178" s="51"/>
      <c r="BF178" s="51"/>
      <c r="BG178" s="51"/>
      <c r="BH178" s="51"/>
      <c r="BI178" s="51"/>
      <c r="BJ178" s="51"/>
      <c r="BK178" s="51"/>
      <c r="BL178" s="51"/>
      <c r="BM178" s="51"/>
      <c r="BN178" s="51"/>
      <c r="BO178" s="51"/>
      <c r="BP178" s="51"/>
      <c r="BQ178" s="51"/>
      <c r="BR178" s="51"/>
      <c r="BS178" s="51"/>
      <c r="BT178" s="51"/>
      <c r="BU178" s="51"/>
      <c r="BV178" s="51"/>
      <c r="BW178" s="51"/>
      <c r="BX178" s="51"/>
      <c r="BY178" s="51"/>
      <c r="BZ178" s="51"/>
      <c r="CA178" s="51"/>
      <c r="CB178" s="51"/>
      <c r="CC178" s="51"/>
      <c r="CD178" s="51"/>
      <c r="CE178" s="51"/>
      <c r="CF178" s="51"/>
      <c r="CG178" s="51"/>
      <c r="CH178" s="51"/>
      <c r="CI178" s="51"/>
      <c r="CJ178" s="51"/>
      <c r="CK178" s="51"/>
      <c r="CL178" s="51"/>
      <c r="CM178" s="51"/>
      <c r="CN178" s="51"/>
      <c r="CO178" s="51"/>
      <c r="CP178" s="51"/>
    </row>
    <row r="179" spans="20:94" s="49" customFormat="1" ht="13" customHeight="1">
      <c r="T179" s="51"/>
      <c r="U179" s="51"/>
      <c r="V179" s="51"/>
      <c r="W179" s="51"/>
      <c r="X179" s="51"/>
      <c r="Y179" s="51"/>
      <c r="Z179" s="5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51"/>
      <c r="AQ179" s="51"/>
      <c r="AR179" s="51"/>
      <c r="AS179" s="51"/>
      <c r="AT179" s="51"/>
      <c r="AU179" s="51"/>
      <c r="AV179" s="51"/>
      <c r="AW179" s="51"/>
      <c r="AX179" s="51"/>
      <c r="AY179" s="51"/>
      <c r="AZ179" s="51"/>
      <c r="BA179" s="51"/>
      <c r="BB179" s="51"/>
      <c r="BC179" s="51"/>
      <c r="BD179" s="51"/>
      <c r="BE179" s="51"/>
      <c r="BF179" s="51"/>
      <c r="BG179" s="51"/>
      <c r="BH179" s="51"/>
      <c r="BI179" s="51"/>
      <c r="BJ179" s="51"/>
      <c r="BK179" s="51"/>
      <c r="BL179" s="51"/>
      <c r="BM179" s="51"/>
      <c r="BN179" s="51"/>
      <c r="BO179" s="51"/>
      <c r="BP179" s="51"/>
      <c r="BQ179" s="51"/>
      <c r="BR179" s="51"/>
      <c r="BS179" s="51"/>
      <c r="BT179" s="51"/>
      <c r="BU179" s="51"/>
      <c r="BV179" s="51"/>
      <c r="BW179" s="51"/>
      <c r="BX179" s="51"/>
      <c r="BY179" s="51"/>
      <c r="BZ179" s="51"/>
      <c r="CA179" s="51"/>
      <c r="CB179" s="51"/>
      <c r="CC179" s="51"/>
      <c r="CD179" s="51"/>
      <c r="CE179" s="51"/>
      <c r="CF179" s="51"/>
      <c r="CG179" s="51"/>
      <c r="CH179" s="51"/>
      <c r="CI179" s="51"/>
      <c r="CJ179" s="51"/>
      <c r="CK179" s="51"/>
      <c r="CL179" s="51"/>
      <c r="CM179" s="51"/>
      <c r="CN179" s="51"/>
      <c r="CO179" s="51"/>
      <c r="CP179" s="51"/>
    </row>
    <row r="180" spans="20:94" s="49" customFormat="1" ht="13" customHeight="1">
      <c r="T180" s="51"/>
      <c r="U180" s="51"/>
      <c r="V180" s="51"/>
      <c r="W180" s="51"/>
      <c r="X180" s="51"/>
      <c r="Y180" s="51"/>
      <c r="Z180" s="5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51"/>
      <c r="AQ180" s="51"/>
      <c r="AR180" s="51"/>
      <c r="AS180" s="51"/>
      <c r="AT180" s="51"/>
      <c r="AU180" s="51"/>
      <c r="AV180" s="51"/>
      <c r="AW180" s="51"/>
      <c r="AX180" s="51"/>
      <c r="AY180" s="51"/>
      <c r="AZ180" s="51"/>
      <c r="BA180" s="51"/>
      <c r="BB180" s="51"/>
      <c r="BC180" s="51"/>
      <c r="BD180" s="51"/>
      <c r="BE180" s="51"/>
      <c r="BF180" s="51"/>
      <c r="BG180" s="51"/>
      <c r="BH180" s="51"/>
      <c r="BI180" s="51"/>
      <c r="BJ180" s="51"/>
      <c r="BK180" s="51"/>
      <c r="BL180" s="51"/>
      <c r="BM180" s="51"/>
      <c r="BN180" s="51"/>
      <c r="BO180" s="51"/>
      <c r="BP180" s="51"/>
      <c r="BQ180" s="51"/>
      <c r="BR180" s="51"/>
      <c r="BS180" s="51"/>
      <c r="BT180" s="51"/>
      <c r="BU180" s="51"/>
      <c r="BV180" s="51"/>
      <c r="BW180" s="51"/>
      <c r="BX180" s="51"/>
      <c r="BY180" s="51"/>
      <c r="BZ180" s="51"/>
      <c r="CA180" s="51"/>
      <c r="CB180" s="51"/>
      <c r="CC180" s="51"/>
      <c r="CD180" s="51"/>
      <c r="CE180" s="51"/>
      <c r="CF180" s="51"/>
      <c r="CG180" s="51"/>
      <c r="CH180" s="51"/>
      <c r="CI180" s="51"/>
      <c r="CJ180" s="51"/>
      <c r="CK180" s="51"/>
      <c r="CL180" s="51"/>
      <c r="CM180" s="51"/>
      <c r="CN180" s="51"/>
      <c r="CO180" s="51"/>
      <c r="CP180" s="51"/>
    </row>
    <row r="181" spans="20:94" s="49" customFormat="1" ht="13" customHeight="1">
      <c r="T181" s="51"/>
      <c r="U181" s="51"/>
      <c r="V181" s="51"/>
      <c r="W181" s="51"/>
      <c r="X181" s="51"/>
      <c r="Y181" s="51"/>
      <c r="Z181" s="5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51"/>
      <c r="AQ181" s="51"/>
      <c r="AR181" s="51"/>
      <c r="AS181" s="51"/>
      <c r="AT181" s="51"/>
      <c r="AU181" s="51"/>
      <c r="AV181" s="51"/>
      <c r="AW181" s="51"/>
      <c r="AX181" s="51"/>
      <c r="AY181" s="51"/>
      <c r="AZ181" s="51"/>
      <c r="BA181" s="51"/>
      <c r="BB181" s="51"/>
      <c r="BC181" s="51"/>
      <c r="BD181" s="51"/>
      <c r="BE181" s="51"/>
      <c r="BF181" s="51"/>
      <c r="BG181" s="51"/>
      <c r="BH181" s="51"/>
      <c r="BI181" s="51"/>
      <c r="BJ181" s="51"/>
      <c r="BK181" s="51"/>
      <c r="BL181" s="51"/>
      <c r="BM181" s="51"/>
      <c r="BN181" s="51"/>
      <c r="BO181" s="51"/>
      <c r="BP181" s="51"/>
      <c r="BQ181" s="51"/>
      <c r="BR181" s="51"/>
      <c r="BS181" s="51"/>
      <c r="BT181" s="51"/>
      <c r="BU181" s="51"/>
      <c r="BV181" s="51"/>
      <c r="BW181" s="51"/>
      <c r="BX181" s="51"/>
      <c r="BY181" s="51"/>
      <c r="BZ181" s="51"/>
      <c r="CA181" s="51"/>
      <c r="CB181" s="51"/>
      <c r="CC181" s="51"/>
      <c r="CD181" s="51"/>
      <c r="CE181" s="51"/>
      <c r="CF181" s="51"/>
      <c r="CG181" s="51"/>
      <c r="CH181" s="51"/>
      <c r="CI181" s="51"/>
      <c r="CJ181" s="51"/>
      <c r="CK181" s="51"/>
      <c r="CL181" s="51"/>
      <c r="CM181" s="51"/>
      <c r="CN181" s="51"/>
      <c r="CO181" s="51"/>
      <c r="CP181" s="51"/>
    </row>
    <row r="182" spans="20:94" s="49" customFormat="1" ht="13" customHeight="1"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51"/>
      <c r="AQ182" s="51"/>
      <c r="AR182" s="51"/>
      <c r="AS182" s="51"/>
      <c r="AT182" s="51"/>
      <c r="AU182" s="51"/>
      <c r="AV182" s="51"/>
      <c r="AW182" s="51"/>
      <c r="AX182" s="51"/>
      <c r="AY182" s="51"/>
      <c r="AZ182" s="51"/>
      <c r="BA182" s="51"/>
      <c r="BB182" s="51"/>
      <c r="BC182" s="51"/>
      <c r="BD182" s="51"/>
      <c r="BE182" s="51"/>
      <c r="BF182" s="51"/>
      <c r="BG182" s="51"/>
      <c r="BH182" s="51"/>
      <c r="BI182" s="51"/>
      <c r="BJ182" s="51"/>
      <c r="BK182" s="51"/>
      <c r="BL182" s="51"/>
      <c r="BM182" s="51"/>
      <c r="BN182" s="51"/>
      <c r="BO182" s="51"/>
      <c r="BP182" s="51"/>
      <c r="BQ182" s="51"/>
      <c r="BR182" s="51"/>
      <c r="BS182" s="51"/>
      <c r="BT182" s="51"/>
      <c r="BU182" s="51"/>
      <c r="BV182" s="51"/>
      <c r="BW182" s="51"/>
      <c r="BX182" s="51"/>
      <c r="BY182" s="51"/>
      <c r="BZ182" s="51"/>
      <c r="CA182" s="51"/>
      <c r="CB182" s="51"/>
      <c r="CC182" s="51"/>
      <c r="CD182" s="51"/>
      <c r="CE182" s="51"/>
      <c r="CF182" s="51"/>
      <c r="CG182" s="51"/>
      <c r="CH182" s="51"/>
      <c r="CI182" s="51"/>
      <c r="CJ182" s="51"/>
      <c r="CK182" s="51"/>
      <c r="CL182" s="51"/>
      <c r="CM182" s="51"/>
      <c r="CN182" s="51"/>
      <c r="CO182" s="51"/>
      <c r="CP182" s="51"/>
    </row>
    <row r="183" spans="20:94" s="49" customFormat="1" ht="13" customHeight="1">
      <c r="T183" s="51"/>
      <c r="U183" s="51"/>
      <c r="V183" s="51"/>
      <c r="W183" s="51"/>
      <c r="X183" s="51"/>
      <c r="Y183" s="51"/>
      <c r="Z183" s="5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51"/>
      <c r="AQ183" s="51"/>
      <c r="AR183" s="51"/>
      <c r="AS183" s="51"/>
      <c r="AT183" s="51"/>
      <c r="AU183" s="51"/>
      <c r="AV183" s="51"/>
      <c r="AW183" s="51"/>
      <c r="AX183" s="51"/>
      <c r="AY183" s="51"/>
      <c r="AZ183" s="51"/>
      <c r="BA183" s="51"/>
      <c r="BB183" s="51"/>
      <c r="BC183" s="51"/>
      <c r="BD183" s="51"/>
      <c r="BE183" s="51"/>
      <c r="BF183" s="51"/>
      <c r="BG183" s="51"/>
      <c r="BH183" s="51"/>
      <c r="BI183" s="51"/>
      <c r="BJ183" s="51"/>
      <c r="BK183" s="51"/>
      <c r="BL183" s="51"/>
      <c r="BM183" s="51"/>
      <c r="BN183" s="51"/>
      <c r="BO183" s="51"/>
      <c r="BP183" s="51"/>
      <c r="BQ183" s="51"/>
      <c r="BR183" s="51"/>
      <c r="BS183" s="51"/>
      <c r="BT183" s="51"/>
      <c r="BU183" s="51"/>
      <c r="BV183" s="51"/>
      <c r="BW183" s="51"/>
      <c r="BX183" s="51"/>
      <c r="BY183" s="51"/>
      <c r="BZ183" s="51"/>
      <c r="CA183" s="51"/>
      <c r="CB183" s="51"/>
      <c r="CC183" s="51"/>
      <c r="CD183" s="51"/>
      <c r="CE183" s="51"/>
      <c r="CF183" s="51"/>
      <c r="CG183" s="51"/>
      <c r="CH183" s="51"/>
      <c r="CI183" s="51"/>
      <c r="CJ183" s="51"/>
      <c r="CK183" s="51"/>
      <c r="CL183" s="51"/>
      <c r="CM183" s="51"/>
      <c r="CN183" s="51"/>
      <c r="CO183" s="51"/>
      <c r="CP183" s="51"/>
    </row>
    <row r="184" spans="20:94" s="49" customFormat="1" ht="13" customHeight="1"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51"/>
      <c r="AQ184" s="51"/>
      <c r="AR184" s="51"/>
      <c r="AS184" s="51"/>
      <c r="AT184" s="51"/>
      <c r="AU184" s="51"/>
      <c r="AV184" s="51"/>
      <c r="AW184" s="51"/>
      <c r="AX184" s="51"/>
      <c r="AY184" s="51"/>
      <c r="AZ184" s="51"/>
      <c r="BA184" s="51"/>
      <c r="BB184" s="51"/>
      <c r="BC184" s="51"/>
      <c r="BD184" s="51"/>
      <c r="BE184" s="51"/>
      <c r="BF184" s="51"/>
      <c r="BG184" s="51"/>
      <c r="BH184" s="51"/>
      <c r="BI184" s="51"/>
      <c r="BJ184" s="51"/>
      <c r="BK184" s="51"/>
      <c r="BL184" s="51"/>
      <c r="BM184" s="51"/>
      <c r="BN184" s="51"/>
      <c r="BO184" s="51"/>
      <c r="BP184" s="51"/>
      <c r="BQ184" s="51"/>
      <c r="BR184" s="51"/>
      <c r="BS184" s="51"/>
      <c r="BT184" s="51"/>
      <c r="BU184" s="51"/>
      <c r="BV184" s="51"/>
      <c r="BW184" s="51"/>
      <c r="BX184" s="51"/>
      <c r="BY184" s="51"/>
      <c r="BZ184" s="51"/>
      <c r="CA184" s="51"/>
      <c r="CB184" s="51"/>
      <c r="CC184" s="51"/>
      <c r="CD184" s="51"/>
      <c r="CE184" s="51"/>
      <c r="CF184" s="51"/>
      <c r="CG184" s="51"/>
      <c r="CH184" s="51"/>
      <c r="CI184" s="51"/>
      <c r="CJ184" s="51"/>
      <c r="CK184" s="51"/>
      <c r="CL184" s="51"/>
      <c r="CM184" s="51"/>
      <c r="CN184" s="51"/>
      <c r="CO184" s="51"/>
      <c r="CP184" s="51"/>
    </row>
    <row r="185" spans="20:94" s="49" customFormat="1" ht="13" customHeight="1"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  <c r="CC185" s="51"/>
      <c r="CD185" s="51"/>
      <c r="CE185" s="51"/>
      <c r="CF185" s="51"/>
      <c r="CG185" s="51"/>
      <c r="CH185" s="51"/>
      <c r="CI185" s="51"/>
      <c r="CJ185" s="51"/>
      <c r="CK185" s="51"/>
      <c r="CL185" s="51"/>
      <c r="CM185" s="51"/>
      <c r="CN185" s="51"/>
      <c r="CO185" s="51"/>
      <c r="CP185" s="51"/>
    </row>
    <row r="186" spans="20:94" s="49" customFormat="1" ht="13" customHeight="1">
      <c r="T186" s="51"/>
      <c r="U186" s="51"/>
      <c r="V186" s="51"/>
      <c r="W186" s="51"/>
      <c r="X186" s="51"/>
      <c r="Y186" s="51"/>
      <c r="Z186" s="5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  <c r="CC186" s="51"/>
      <c r="CD186" s="51"/>
      <c r="CE186" s="51"/>
      <c r="CF186" s="51"/>
      <c r="CG186" s="51"/>
      <c r="CH186" s="51"/>
      <c r="CI186" s="51"/>
      <c r="CJ186" s="51"/>
      <c r="CK186" s="51"/>
      <c r="CL186" s="51"/>
      <c r="CM186" s="51"/>
      <c r="CN186" s="51"/>
      <c r="CO186" s="51"/>
      <c r="CP186" s="51"/>
    </row>
    <row r="187" spans="20:94" s="49" customFormat="1" ht="13" customHeight="1">
      <c r="T187" s="51"/>
      <c r="U187" s="51"/>
      <c r="V187" s="51"/>
      <c r="W187" s="51"/>
      <c r="X187" s="51"/>
      <c r="Y187" s="51"/>
      <c r="Z187" s="5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  <c r="CC187" s="51"/>
      <c r="CD187" s="51"/>
      <c r="CE187" s="51"/>
      <c r="CF187" s="51"/>
      <c r="CG187" s="51"/>
      <c r="CH187" s="51"/>
      <c r="CI187" s="51"/>
      <c r="CJ187" s="51"/>
      <c r="CK187" s="51"/>
      <c r="CL187" s="51"/>
      <c r="CM187" s="51"/>
      <c r="CN187" s="51"/>
      <c r="CO187" s="51"/>
      <c r="CP187" s="51"/>
    </row>
    <row r="188" spans="20:94" s="49" customFormat="1" ht="13" customHeight="1">
      <c r="T188" s="51"/>
      <c r="U188" s="51"/>
      <c r="V188" s="51"/>
      <c r="W188" s="51"/>
      <c r="X188" s="51"/>
      <c r="Y188" s="51"/>
      <c r="Z188" s="5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  <c r="CC188" s="51"/>
      <c r="CD188" s="51"/>
      <c r="CE188" s="51"/>
      <c r="CF188" s="51"/>
      <c r="CG188" s="51"/>
      <c r="CH188" s="51"/>
      <c r="CI188" s="51"/>
      <c r="CJ188" s="51"/>
      <c r="CK188" s="51"/>
      <c r="CL188" s="51"/>
      <c r="CM188" s="51"/>
      <c r="CN188" s="51"/>
      <c r="CO188" s="51"/>
      <c r="CP188" s="51"/>
    </row>
    <row r="189" spans="20:94" s="49" customFormat="1" ht="13" customHeight="1">
      <c r="T189" s="51"/>
      <c r="U189" s="51"/>
      <c r="V189" s="51"/>
      <c r="W189" s="51"/>
      <c r="X189" s="51"/>
      <c r="Y189" s="51"/>
      <c r="Z189" s="5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  <c r="CC189" s="51"/>
      <c r="CD189" s="51"/>
      <c r="CE189" s="51"/>
      <c r="CF189" s="51"/>
      <c r="CG189" s="51"/>
      <c r="CH189" s="51"/>
      <c r="CI189" s="51"/>
      <c r="CJ189" s="51"/>
      <c r="CK189" s="51"/>
      <c r="CL189" s="51"/>
      <c r="CM189" s="51"/>
      <c r="CN189" s="51"/>
      <c r="CO189" s="51"/>
      <c r="CP189" s="51"/>
    </row>
    <row r="190" spans="20:94" s="49" customFormat="1" ht="13" customHeight="1">
      <c r="T190" s="51"/>
      <c r="U190" s="51"/>
      <c r="V190" s="51"/>
      <c r="W190" s="51"/>
      <c r="X190" s="51"/>
      <c r="Y190" s="51"/>
      <c r="Z190" s="5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  <c r="CC190" s="51"/>
      <c r="CD190" s="51"/>
      <c r="CE190" s="51"/>
      <c r="CF190" s="51"/>
      <c r="CG190" s="51"/>
      <c r="CH190" s="51"/>
      <c r="CI190" s="51"/>
      <c r="CJ190" s="51"/>
      <c r="CK190" s="51"/>
      <c r="CL190" s="51"/>
      <c r="CM190" s="51"/>
      <c r="CN190" s="51"/>
      <c r="CO190" s="51"/>
      <c r="CP190" s="51"/>
    </row>
    <row r="191" spans="20:94" s="49" customFormat="1" ht="13" customHeight="1">
      <c r="T191" s="51"/>
      <c r="U191" s="51"/>
      <c r="V191" s="51"/>
      <c r="W191" s="51"/>
      <c r="X191" s="51"/>
      <c r="Y191" s="51"/>
      <c r="Z191" s="5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  <c r="CC191" s="51"/>
      <c r="CD191" s="51"/>
      <c r="CE191" s="51"/>
      <c r="CF191" s="51"/>
      <c r="CG191" s="51"/>
      <c r="CH191" s="51"/>
      <c r="CI191" s="51"/>
      <c r="CJ191" s="51"/>
      <c r="CK191" s="51"/>
      <c r="CL191" s="51"/>
      <c r="CM191" s="51"/>
      <c r="CN191" s="51"/>
      <c r="CO191" s="51"/>
      <c r="CP191" s="51"/>
    </row>
    <row r="192" spans="20:94" s="49" customFormat="1" ht="13" customHeight="1">
      <c r="T192" s="51"/>
      <c r="U192" s="51"/>
      <c r="V192" s="51"/>
      <c r="W192" s="51"/>
      <c r="X192" s="51"/>
      <c r="Y192" s="51"/>
      <c r="Z192" s="5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  <c r="CC192" s="51"/>
      <c r="CD192" s="51"/>
      <c r="CE192" s="51"/>
      <c r="CF192" s="51"/>
      <c r="CG192" s="51"/>
      <c r="CH192" s="51"/>
      <c r="CI192" s="51"/>
      <c r="CJ192" s="51"/>
      <c r="CK192" s="51"/>
      <c r="CL192" s="51"/>
      <c r="CM192" s="51"/>
      <c r="CN192" s="51"/>
      <c r="CO192" s="51"/>
      <c r="CP192" s="51"/>
    </row>
    <row r="193" spans="20:94" s="49" customFormat="1" ht="13" customHeight="1">
      <c r="T193" s="51"/>
      <c r="U193" s="51"/>
      <c r="V193" s="51"/>
      <c r="W193" s="51"/>
      <c r="X193" s="51"/>
      <c r="Y193" s="51"/>
      <c r="Z193" s="5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  <c r="CC193" s="51"/>
      <c r="CD193" s="51"/>
      <c r="CE193" s="51"/>
      <c r="CF193" s="51"/>
      <c r="CG193" s="51"/>
      <c r="CH193" s="51"/>
      <c r="CI193" s="51"/>
      <c r="CJ193" s="51"/>
      <c r="CK193" s="51"/>
      <c r="CL193" s="51"/>
      <c r="CM193" s="51"/>
      <c r="CN193" s="51"/>
      <c r="CO193" s="51"/>
      <c r="CP193" s="51"/>
    </row>
    <row r="194" spans="20:94" s="49" customFormat="1" ht="13" customHeight="1">
      <c r="T194" s="51"/>
      <c r="U194" s="51"/>
      <c r="V194" s="51"/>
      <c r="W194" s="51"/>
      <c r="X194" s="51"/>
      <c r="Y194" s="51"/>
      <c r="Z194" s="5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  <c r="CC194" s="51"/>
      <c r="CD194" s="51"/>
      <c r="CE194" s="51"/>
      <c r="CF194" s="51"/>
      <c r="CG194" s="51"/>
      <c r="CH194" s="51"/>
      <c r="CI194" s="51"/>
      <c r="CJ194" s="51"/>
      <c r="CK194" s="51"/>
      <c r="CL194" s="51"/>
      <c r="CM194" s="51"/>
      <c r="CN194" s="51"/>
      <c r="CO194" s="51"/>
      <c r="CP194" s="51"/>
    </row>
    <row r="195" spans="20:94" s="49" customFormat="1" ht="13" customHeight="1">
      <c r="T195" s="51"/>
      <c r="U195" s="51"/>
      <c r="V195" s="51"/>
      <c r="W195" s="51"/>
      <c r="X195" s="51"/>
      <c r="Y195" s="51"/>
      <c r="Z195" s="5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  <c r="CC195" s="51"/>
      <c r="CD195" s="51"/>
      <c r="CE195" s="51"/>
      <c r="CF195" s="51"/>
      <c r="CG195" s="51"/>
      <c r="CH195" s="51"/>
      <c r="CI195" s="51"/>
      <c r="CJ195" s="51"/>
      <c r="CK195" s="51"/>
      <c r="CL195" s="51"/>
      <c r="CM195" s="51"/>
      <c r="CN195" s="51"/>
      <c r="CO195" s="51"/>
      <c r="CP195" s="51"/>
    </row>
    <row r="196" spans="20:94" s="49" customFormat="1" ht="13" customHeight="1">
      <c r="T196" s="51"/>
      <c r="U196" s="51"/>
      <c r="V196" s="51"/>
      <c r="W196" s="51"/>
      <c r="X196" s="51"/>
      <c r="Y196" s="51"/>
      <c r="Z196" s="5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  <c r="CC196" s="51"/>
      <c r="CD196" s="51"/>
      <c r="CE196" s="51"/>
      <c r="CF196" s="51"/>
      <c r="CG196" s="51"/>
      <c r="CH196" s="51"/>
      <c r="CI196" s="51"/>
      <c r="CJ196" s="51"/>
      <c r="CK196" s="51"/>
      <c r="CL196" s="51"/>
      <c r="CM196" s="51"/>
      <c r="CN196" s="51"/>
      <c r="CO196" s="51"/>
      <c r="CP196" s="51"/>
    </row>
    <row r="197" spans="20:94" s="49" customFormat="1" ht="13" customHeight="1"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  <c r="CC197" s="51"/>
      <c r="CD197" s="51"/>
      <c r="CE197" s="51"/>
      <c r="CF197" s="51"/>
      <c r="CG197" s="51"/>
      <c r="CH197" s="51"/>
      <c r="CI197" s="51"/>
      <c r="CJ197" s="51"/>
      <c r="CK197" s="51"/>
      <c r="CL197" s="51"/>
      <c r="CM197" s="51"/>
      <c r="CN197" s="51"/>
      <c r="CO197" s="51"/>
      <c r="CP197" s="51"/>
    </row>
    <row r="198" spans="20:94" s="49" customFormat="1" ht="13" customHeight="1">
      <c r="T198" s="51"/>
      <c r="U198" s="51"/>
      <c r="V198" s="51"/>
      <c r="W198" s="51"/>
      <c r="X198" s="51"/>
      <c r="Y198" s="51"/>
      <c r="Z198" s="5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  <c r="CC198" s="51"/>
      <c r="CD198" s="51"/>
      <c r="CE198" s="51"/>
      <c r="CF198" s="51"/>
      <c r="CG198" s="51"/>
      <c r="CH198" s="51"/>
      <c r="CI198" s="51"/>
      <c r="CJ198" s="51"/>
      <c r="CK198" s="51"/>
      <c r="CL198" s="51"/>
      <c r="CM198" s="51"/>
      <c r="CN198" s="51"/>
      <c r="CO198" s="51"/>
      <c r="CP198" s="51"/>
    </row>
    <row r="199" spans="20:94" s="49" customFormat="1" ht="13" customHeight="1"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  <c r="CC199" s="51"/>
      <c r="CD199" s="51"/>
      <c r="CE199" s="51"/>
      <c r="CF199" s="51"/>
      <c r="CG199" s="51"/>
      <c r="CH199" s="51"/>
      <c r="CI199" s="51"/>
      <c r="CJ199" s="51"/>
      <c r="CK199" s="51"/>
      <c r="CL199" s="51"/>
      <c r="CM199" s="51"/>
      <c r="CN199" s="51"/>
      <c r="CO199" s="51"/>
      <c r="CP199" s="51"/>
    </row>
    <row r="200" spans="20:94" s="49" customFormat="1" ht="13" customHeight="1"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  <c r="CC200" s="51"/>
      <c r="CD200" s="51"/>
      <c r="CE200" s="51"/>
      <c r="CF200" s="51"/>
      <c r="CG200" s="51"/>
      <c r="CH200" s="51"/>
      <c r="CI200" s="51"/>
      <c r="CJ200" s="51"/>
      <c r="CK200" s="51"/>
      <c r="CL200" s="51"/>
      <c r="CM200" s="51"/>
      <c r="CN200" s="51"/>
      <c r="CO200" s="51"/>
      <c r="CP200" s="51"/>
    </row>
    <row r="201" spans="20:94" s="49" customFormat="1" ht="13" customHeight="1"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  <c r="CC201" s="51"/>
      <c r="CD201" s="51"/>
      <c r="CE201" s="51"/>
      <c r="CF201" s="51"/>
      <c r="CG201" s="51"/>
      <c r="CH201" s="51"/>
      <c r="CI201" s="51"/>
      <c r="CJ201" s="51"/>
      <c r="CK201" s="51"/>
      <c r="CL201" s="51"/>
      <c r="CM201" s="51"/>
      <c r="CN201" s="51"/>
      <c r="CO201" s="51"/>
      <c r="CP201" s="51"/>
    </row>
    <row r="202" spans="20:94" s="49" customFormat="1" ht="13" customHeight="1">
      <c r="T202" s="51"/>
      <c r="U202" s="51"/>
      <c r="V202" s="51"/>
      <c r="W202" s="51"/>
      <c r="X202" s="51"/>
      <c r="Y202" s="51"/>
      <c r="Z202" s="5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  <c r="CC202" s="51"/>
      <c r="CD202" s="51"/>
      <c r="CE202" s="51"/>
      <c r="CF202" s="51"/>
      <c r="CG202" s="51"/>
      <c r="CH202" s="51"/>
      <c r="CI202" s="51"/>
      <c r="CJ202" s="51"/>
      <c r="CK202" s="51"/>
      <c r="CL202" s="51"/>
      <c r="CM202" s="51"/>
      <c r="CN202" s="51"/>
      <c r="CO202" s="51"/>
      <c r="CP202" s="51"/>
    </row>
    <row r="203" spans="20:94" s="49" customFormat="1" ht="13" customHeight="1">
      <c r="T203" s="51"/>
      <c r="U203" s="51"/>
      <c r="V203" s="51"/>
      <c r="W203" s="51"/>
      <c r="X203" s="51"/>
      <c r="Y203" s="51"/>
      <c r="Z203" s="5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  <c r="CC203" s="51"/>
      <c r="CD203" s="51"/>
      <c r="CE203" s="51"/>
      <c r="CF203" s="51"/>
      <c r="CG203" s="51"/>
      <c r="CH203" s="51"/>
      <c r="CI203" s="51"/>
      <c r="CJ203" s="51"/>
      <c r="CK203" s="51"/>
      <c r="CL203" s="51"/>
      <c r="CM203" s="51"/>
      <c r="CN203" s="51"/>
      <c r="CO203" s="51"/>
      <c r="CP203" s="51"/>
    </row>
    <row r="204" spans="20:94" s="49" customFormat="1" ht="13" customHeight="1">
      <c r="T204" s="51"/>
      <c r="U204" s="51"/>
      <c r="V204" s="51"/>
      <c r="W204" s="51"/>
      <c r="X204" s="51"/>
      <c r="Y204" s="51"/>
      <c r="Z204" s="5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  <c r="CC204" s="51"/>
      <c r="CD204" s="51"/>
      <c r="CE204" s="51"/>
      <c r="CF204" s="51"/>
      <c r="CG204" s="51"/>
      <c r="CH204" s="51"/>
      <c r="CI204" s="51"/>
      <c r="CJ204" s="51"/>
      <c r="CK204" s="51"/>
      <c r="CL204" s="51"/>
      <c r="CM204" s="51"/>
      <c r="CN204" s="51"/>
      <c r="CO204" s="51"/>
      <c r="CP204" s="51"/>
    </row>
    <row r="205" spans="20:94" s="49" customFormat="1" ht="13" customHeight="1">
      <c r="T205" s="51"/>
      <c r="U205" s="51"/>
      <c r="V205" s="51"/>
      <c r="W205" s="51"/>
      <c r="X205" s="51"/>
      <c r="Y205" s="51"/>
      <c r="Z205" s="5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  <c r="CC205" s="51"/>
      <c r="CD205" s="51"/>
      <c r="CE205" s="51"/>
      <c r="CF205" s="51"/>
      <c r="CG205" s="51"/>
      <c r="CH205" s="51"/>
      <c r="CI205" s="51"/>
      <c r="CJ205" s="51"/>
      <c r="CK205" s="51"/>
      <c r="CL205" s="51"/>
      <c r="CM205" s="51"/>
      <c r="CN205" s="51"/>
      <c r="CO205" s="51"/>
      <c r="CP205" s="51"/>
    </row>
    <row r="206" spans="20:94" s="49" customFormat="1" ht="13" customHeight="1">
      <c r="T206" s="51"/>
      <c r="U206" s="51"/>
      <c r="V206" s="51"/>
      <c r="W206" s="51"/>
      <c r="X206" s="51"/>
      <c r="Y206" s="51"/>
      <c r="Z206" s="5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  <c r="CC206" s="51"/>
      <c r="CD206" s="51"/>
      <c r="CE206" s="51"/>
      <c r="CF206" s="51"/>
      <c r="CG206" s="51"/>
      <c r="CH206" s="51"/>
      <c r="CI206" s="51"/>
      <c r="CJ206" s="51"/>
      <c r="CK206" s="51"/>
      <c r="CL206" s="51"/>
      <c r="CM206" s="51"/>
      <c r="CN206" s="51"/>
      <c r="CO206" s="51"/>
      <c r="CP206" s="51"/>
    </row>
    <row r="207" spans="20:94" s="49" customFormat="1" ht="13" customHeight="1">
      <c r="T207" s="51"/>
      <c r="U207" s="51"/>
      <c r="V207" s="51"/>
      <c r="W207" s="51"/>
      <c r="X207" s="51"/>
      <c r="Y207" s="51"/>
      <c r="Z207" s="5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  <c r="CC207" s="51"/>
      <c r="CD207" s="51"/>
      <c r="CE207" s="51"/>
      <c r="CF207" s="51"/>
      <c r="CG207" s="51"/>
      <c r="CH207" s="51"/>
      <c r="CI207" s="51"/>
      <c r="CJ207" s="51"/>
      <c r="CK207" s="51"/>
      <c r="CL207" s="51"/>
      <c r="CM207" s="51"/>
      <c r="CN207" s="51"/>
      <c r="CO207" s="51"/>
      <c r="CP207" s="51"/>
    </row>
    <row r="208" spans="20:94" s="49" customFormat="1" ht="13" customHeight="1">
      <c r="T208" s="51"/>
      <c r="U208" s="51"/>
      <c r="V208" s="51"/>
      <c r="W208" s="51"/>
      <c r="X208" s="51"/>
      <c r="Y208" s="51"/>
      <c r="Z208" s="51"/>
      <c r="AA208" s="51"/>
      <c r="AB208" s="51"/>
      <c r="AC208" s="51"/>
      <c r="AD208" s="51"/>
      <c r="AE208" s="51"/>
      <c r="AF208" s="51"/>
      <c r="AG208" s="5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  <c r="CC208" s="51"/>
      <c r="CD208" s="51"/>
      <c r="CE208" s="51"/>
      <c r="CF208" s="51"/>
      <c r="CG208" s="51"/>
      <c r="CH208" s="51"/>
      <c r="CI208" s="51"/>
      <c r="CJ208" s="51"/>
      <c r="CK208" s="51"/>
      <c r="CL208" s="51"/>
      <c r="CM208" s="51"/>
      <c r="CN208" s="51"/>
      <c r="CO208" s="51"/>
      <c r="CP208" s="51"/>
    </row>
    <row r="209" spans="20:94" s="49" customFormat="1" ht="13" customHeight="1"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  <c r="CC209" s="51"/>
      <c r="CD209" s="51"/>
      <c r="CE209" s="51"/>
      <c r="CF209" s="51"/>
      <c r="CG209" s="51"/>
      <c r="CH209" s="51"/>
      <c r="CI209" s="51"/>
      <c r="CJ209" s="51"/>
      <c r="CK209" s="51"/>
      <c r="CL209" s="51"/>
      <c r="CM209" s="51"/>
      <c r="CN209" s="51"/>
      <c r="CO209" s="51"/>
      <c r="CP209" s="51"/>
    </row>
    <row r="210" spans="20:94" s="49" customFormat="1" ht="13" customHeight="1">
      <c r="T210" s="51"/>
      <c r="U210" s="51"/>
      <c r="V210" s="51"/>
      <c r="W210" s="51"/>
      <c r="X210" s="51"/>
      <c r="Y210" s="51"/>
      <c r="Z210" s="51"/>
      <c r="AA210" s="51"/>
      <c r="AB210" s="51"/>
      <c r="AC210" s="51"/>
      <c r="AD210" s="51"/>
      <c r="AE210" s="51"/>
      <c r="AF210" s="51"/>
      <c r="AG210" s="5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  <c r="CC210" s="51"/>
      <c r="CD210" s="51"/>
      <c r="CE210" s="51"/>
      <c r="CF210" s="51"/>
      <c r="CG210" s="51"/>
      <c r="CH210" s="51"/>
      <c r="CI210" s="51"/>
      <c r="CJ210" s="51"/>
      <c r="CK210" s="51"/>
      <c r="CL210" s="51"/>
      <c r="CM210" s="51"/>
      <c r="CN210" s="51"/>
      <c r="CO210" s="51"/>
      <c r="CP210" s="51"/>
    </row>
    <row r="211" spans="20:94" s="49" customFormat="1" ht="13" customHeight="1">
      <c r="T211" s="51"/>
      <c r="U211" s="51"/>
      <c r="V211" s="51"/>
      <c r="W211" s="51"/>
      <c r="X211" s="51"/>
      <c r="Y211" s="51"/>
      <c r="Z211" s="51"/>
      <c r="AA211" s="51"/>
      <c r="AB211" s="51"/>
      <c r="AC211" s="51"/>
      <c r="AD211" s="51"/>
      <c r="AE211" s="51"/>
      <c r="AF211" s="51"/>
      <c r="AG211" s="5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  <c r="CC211" s="51"/>
      <c r="CD211" s="51"/>
      <c r="CE211" s="51"/>
      <c r="CF211" s="51"/>
      <c r="CG211" s="51"/>
      <c r="CH211" s="51"/>
      <c r="CI211" s="51"/>
      <c r="CJ211" s="51"/>
      <c r="CK211" s="51"/>
      <c r="CL211" s="51"/>
      <c r="CM211" s="51"/>
      <c r="CN211" s="51"/>
      <c r="CO211" s="51"/>
      <c r="CP211" s="51"/>
    </row>
    <row r="212" spans="20:94" s="49" customFormat="1" ht="13" customHeight="1">
      <c r="T212" s="51"/>
      <c r="U212" s="51"/>
      <c r="V212" s="51"/>
      <c r="W212" s="51"/>
      <c r="X212" s="51"/>
      <c r="Y212" s="51"/>
      <c r="Z212" s="51"/>
      <c r="AA212" s="51"/>
      <c r="AB212" s="51"/>
      <c r="AC212" s="51"/>
      <c r="AD212" s="51"/>
      <c r="AE212" s="51"/>
      <c r="AF212" s="51"/>
      <c r="AG212" s="5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  <c r="CC212" s="51"/>
      <c r="CD212" s="51"/>
      <c r="CE212" s="51"/>
      <c r="CF212" s="51"/>
      <c r="CG212" s="51"/>
      <c r="CH212" s="51"/>
      <c r="CI212" s="51"/>
      <c r="CJ212" s="51"/>
      <c r="CK212" s="51"/>
      <c r="CL212" s="51"/>
      <c r="CM212" s="51"/>
      <c r="CN212" s="51"/>
      <c r="CO212" s="51"/>
      <c r="CP212" s="51"/>
    </row>
    <row r="213" spans="20:94" s="49" customFormat="1" ht="13" customHeight="1">
      <c r="T213" s="51"/>
      <c r="U213" s="51"/>
      <c r="V213" s="51"/>
      <c r="W213" s="51"/>
      <c r="X213" s="51"/>
      <c r="Y213" s="51"/>
      <c r="Z213" s="51"/>
      <c r="AA213" s="51"/>
      <c r="AB213" s="51"/>
      <c r="AC213" s="51"/>
      <c r="AD213" s="51"/>
      <c r="AE213" s="51"/>
      <c r="AF213" s="51"/>
      <c r="AG213" s="5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  <c r="CC213" s="51"/>
      <c r="CD213" s="51"/>
      <c r="CE213" s="51"/>
      <c r="CF213" s="51"/>
      <c r="CG213" s="51"/>
      <c r="CH213" s="51"/>
      <c r="CI213" s="51"/>
      <c r="CJ213" s="51"/>
      <c r="CK213" s="51"/>
      <c r="CL213" s="51"/>
      <c r="CM213" s="51"/>
      <c r="CN213" s="51"/>
      <c r="CO213" s="51"/>
      <c r="CP213" s="51"/>
    </row>
    <row r="214" spans="20:94" s="49" customFormat="1" ht="13" customHeight="1"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  <c r="CC214" s="51"/>
      <c r="CD214" s="51"/>
      <c r="CE214" s="51"/>
      <c r="CF214" s="51"/>
      <c r="CG214" s="51"/>
      <c r="CH214" s="51"/>
      <c r="CI214" s="51"/>
      <c r="CJ214" s="51"/>
      <c r="CK214" s="51"/>
      <c r="CL214" s="51"/>
      <c r="CM214" s="51"/>
      <c r="CN214" s="51"/>
      <c r="CO214" s="51"/>
      <c r="CP214" s="51"/>
    </row>
    <row r="215" spans="20:94" s="49" customFormat="1" ht="13" customHeight="1"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  <c r="CC215" s="51"/>
      <c r="CD215" s="51"/>
      <c r="CE215" s="51"/>
      <c r="CF215" s="51"/>
      <c r="CG215" s="51"/>
      <c r="CH215" s="51"/>
      <c r="CI215" s="51"/>
      <c r="CJ215" s="51"/>
      <c r="CK215" s="51"/>
      <c r="CL215" s="51"/>
      <c r="CM215" s="51"/>
      <c r="CN215" s="51"/>
      <c r="CO215" s="51"/>
      <c r="CP215" s="51"/>
    </row>
    <row r="216" spans="20:94" s="49" customFormat="1" ht="13" customHeight="1">
      <c r="T216" s="51"/>
      <c r="U216" s="51"/>
      <c r="V216" s="51"/>
      <c r="W216" s="51"/>
      <c r="X216" s="51"/>
      <c r="Y216" s="51"/>
      <c r="Z216" s="51"/>
      <c r="AA216" s="51"/>
      <c r="AB216" s="51"/>
      <c r="AC216" s="51"/>
      <c r="AD216" s="51"/>
      <c r="AE216" s="51"/>
      <c r="AF216" s="51"/>
      <c r="AG216" s="5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  <c r="CC216" s="51"/>
      <c r="CD216" s="51"/>
      <c r="CE216" s="51"/>
      <c r="CF216" s="51"/>
      <c r="CG216" s="51"/>
      <c r="CH216" s="51"/>
      <c r="CI216" s="51"/>
      <c r="CJ216" s="51"/>
      <c r="CK216" s="51"/>
      <c r="CL216" s="51"/>
      <c r="CM216" s="51"/>
      <c r="CN216" s="51"/>
      <c r="CO216" s="51"/>
      <c r="CP216" s="51"/>
    </row>
    <row r="217" spans="20:94" s="49" customFormat="1" ht="13" customHeight="1">
      <c r="T217" s="51"/>
      <c r="U217" s="51"/>
      <c r="V217" s="51"/>
      <c r="W217" s="51"/>
      <c r="X217" s="51"/>
      <c r="Y217" s="51"/>
      <c r="Z217" s="51"/>
      <c r="AA217" s="51"/>
      <c r="AB217" s="51"/>
      <c r="AC217" s="51"/>
      <c r="AD217" s="51"/>
      <c r="AE217" s="51"/>
      <c r="AF217" s="51"/>
      <c r="AG217" s="5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  <c r="CC217" s="51"/>
      <c r="CD217" s="51"/>
      <c r="CE217" s="51"/>
      <c r="CF217" s="51"/>
      <c r="CG217" s="51"/>
      <c r="CH217" s="51"/>
      <c r="CI217" s="51"/>
      <c r="CJ217" s="51"/>
      <c r="CK217" s="51"/>
      <c r="CL217" s="51"/>
      <c r="CM217" s="51"/>
      <c r="CN217" s="51"/>
      <c r="CO217" s="51"/>
      <c r="CP217" s="51"/>
    </row>
    <row r="218" spans="20:94" s="49" customFormat="1" ht="13" customHeight="1">
      <c r="T218" s="51"/>
      <c r="U218" s="51"/>
      <c r="V218" s="51"/>
      <c r="W218" s="51"/>
      <c r="X218" s="51"/>
      <c r="Y218" s="51"/>
      <c r="Z218" s="51"/>
      <c r="AA218" s="51"/>
      <c r="AB218" s="51"/>
      <c r="AC218" s="51"/>
      <c r="AD218" s="51"/>
      <c r="AE218" s="51"/>
      <c r="AF218" s="51"/>
      <c r="AG218" s="5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  <c r="CC218" s="51"/>
      <c r="CD218" s="51"/>
      <c r="CE218" s="51"/>
      <c r="CF218" s="51"/>
      <c r="CG218" s="51"/>
      <c r="CH218" s="51"/>
      <c r="CI218" s="51"/>
      <c r="CJ218" s="51"/>
      <c r="CK218" s="51"/>
      <c r="CL218" s="51"/>
      <c r="CM218" s="51"/>
      <c r="CN218" s="51"/>
      <c r="CO218" s="51"/>
      <c r="CP218" s="51"/>
    </row>
    <row r="219" spans="20:94" s="49" customFormat="1" ht="13" customHeight="1"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  <c r="CC219" s="51"/>
      <c r="CD219" s="51"/>
      <c r="CE219" s="51"/>
      <c r="CF219" s="51"/>
      <c r="CG219" s="51"/>
      <c r="CH219" s="51"/>
      <c r="CI219" s="51"/>
      <c r="CJ219" s="51"/>
      <c r="CK219" s="51"/>
      <c r="CL219" s="51"/>
      <c r="CM219" s="51"/>
      <c r="CN219" s="51"/>
      <c r="CO219" s="51"/>
      <c r="CP219" s="51"/>
    </row>
    <row r="220" spans="20:94" s="49" customFormat="1" ht="13" customHeight="1">
      <c r="T220" s="51"/>
      <c r="U220" s="51"/>
      <c r="V220" s="51"/>
      <c r="W220" s="51"/>
      <c r="X220" s="51"/>
      <c r="Y220" s="51"/>
      <c r="Z220" s="51"/>
      <c r="AA220" s="51"/>
      <c r="AB220" s="51"/>
      <c r="AC220" s="51"/>
      <c r="AD220" s="51"/>
      <c r="AE220" s="51"/>
      <c r="AF220" s="51"/>
      <c r="AG220" s="5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  <c r="CC220" s="51"/>
      <c r="CD220" s="51"/>
      <c r="CE220" s="51"/>
      <c r="CF220" s="51"/>
      <c r="CG220" s="51"/>
      <c r="CH220" s="51"/>
      <c r="CI220" s="51"/>
      <c r="CJ220" s="51"/>
      <c r="CK220" s="51"/>
      <c r="CL220" s="51"/>
      <c r="CM220" s="51"/>
      <c r="CN220" s="51"/>
      <c r="CO220" s="51"/>
      <c r="CP220" s="51"/>
    </row>
    <row r="221" spans="20:94" s="49" customFormat="1" ht="13" customHeight="1">
      <c r="T221" s="51"/>
      <c r="U221" s="51"/>
      <c r="V221" s="51"/>
      <c r="W221" s="51"/>
      <c r="X221" s="51"/>
      <c r="Y221" s="51"/>
      <c r="Z221" s="51"/>
      <c r="AA221" s="51"/>
      <c r="AB221" s="51"/>
      <c r="AC221" s="51"/>
      <c r="AD221" s="51"/>
      <c r="AE221" s="51"/>
      <c r="AF221" s="51"/>
      <c r="AG221" s="5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  <c r="CC221" s="51"/>
      <c r="CD221" s="51"/>
      <c r="CE221" s="51"/>
      <c r="CF221" s="51"/>
      <c r="CG221" s="51"/>
      <c r="CH221" s="51"/>
      <c r="CI221" s="51"/>
      <c r="CJ221" s="51"/>
      <c r="CK221" s="51"/>
      <c r="CL221" s="51"/>
      <c r="CM221" s="51"/>
      <c r="CN221" s="51"/>
      <c r="CO221" s="51"/>
      <c r="CP221" s="51"/>
    </row>
    <row r="222" spans="20:94" s="49" customFormat="1" ht="13" customHeight="1">
      <c r="T222" s="51"/>
      <c r="U222" s="51"/>
      <c r="V222" s="51"/>
      <c r="W222" s="51"/>
      <c r="X222" s="51"/>
      <c r="Y222" s="51"/>
      <c r="Z222" s="51"/>
      <c r="AA222" s="51"/>
      <c r="AB222" s="51"/>
      <c r="AC222" s="51"/>
      <c r="AD222" s="51"/>
      <c r="AE222" s="51"/>
      <c r="AF222" s="51"/>
      <c r="AG222" s="5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  <c r="CC222" s="51"/>
      <c r="CD222" s="51"/>
      <c r="CE222" s="51"/>
      <c r="CF222" s="51"/>
      <c r="CG222" s="51"/>
      <c r="CH222" s="51"/>
      <c r="CI222" s="51"/>
      <c r="CJ222" s="51"/>
      <c r="CK222" s="51"/>
      <c r="CL222" s="51"/>
      <c r="CM222" s="51"/>
      <c r="CN222" s="51"/>
      <c r="CO222" s="51"/>
      <c r="CP222" s="51"/>
    </row>
    <row r="223" spans="20:94" s="49" customFormat="1" ht="13" customHeight="1">
      <c r="T223" s="51"/>
      <c r="U223" s="51"/>
      <c r="V223" s="51"/>
      <c r="W223" s="51"/>
      <c r="X223" s="51"/>
      <c r="Y223" s="51"/>
      <c r="Z223" s="51"/>
      <c r="AA223" s="51"/>
      <c r="AB223" s="51"/>
      <c r="AC223" s="51"/>
      <c r="AD223" s="51"/>
      <c r="AE223" s="51"/>
      <c r="AF223" s="51"/>
      <c r="AG223" s="5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  <c r="CC223" s="51"/>
      <c r="CD223" s="51"/>
      <c r="CE223" s="51"/>
      <c r="CF223" s="51"/>
      <c r="CG223" s="51"/>
      <c r="CH223" s="51"/>
      <c r="CI223" s="51"/>
      <c r="CJ223" s="51"/>
      <c r="CK223" s="51"/>
      <c r="CL223" s="51"/>
      <c r="CM223" s="51"/>
      <c r="CN223" s="51"/>
      <c r="CO223" s="51"/>
      <c r="CP223" s="51"/>
    </row>
    <row r="224" spans="20:94" s="49" customFormat="1" ht="13" customHeight="1"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  <c r="CC224" s="51"/>
      <c r="CD224" s="51"/>
      <c r="CE224" s="51"/>
      <c r="CF224" s="51"/>
      <c r="CG224" s="51"/>
      <c r="CH224" s="51"/>
      <c r="CI224" s="51"/>
      <c r="CJ224" s="51"/>
      <c r="CK224" s="51"/>
      <c r="CL224" s="51"/>
      <c r="CM224" s="51"/>
      <c r="CN224" s="51"/>
      <c r="CO224" s="51"/>
      <c r="CP224" s="51"/>
    </row>
    <row r="225" spans="20:94" s="49" customFormat="1" ht="13" customHeight="1">
      <c r="T225" s="51"/>
      <c r="U225" s="51"/>
      <c r="V225" s="51"/>
      <c r="W225" s="51"/>
      <c r="X225" s="51"/>
      <c r="Y225" s="51"/>
      <c r="Z225" s="51"/>
      <c r="AA225" s="51"/>
      <c r="AB225" s="51"/>
      <c r="AC225" s="51"/>
      <c r="AD225" s="51"/>
      <c r="AE225" s="51"/>
      <c r="AF225" s="51"/>
      <c r="AG225" s="5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  <c r="CC225" s="51"/>
      <c r="CD225" s="51"/>
      <c r="CE225" s="51"/>
      <c r="CF225" s="51"/>
      <c r="CG225" s="51"/>
      <c r="CH225" s="51"/>
      <c r="CI225" s="51"/>
      <c r="CJ225" s="51"/>
      <c r="CK225" s="51"/>
      <c r="CL225" s="51"/>
      <c r="CM225" s="51"/>
      <c r="CN225" s="51"/>
      <c r="CO225" s="51"/>
      <c r="CP225" s="51"/>
    </row>
    <row r="226" spans="20:94" s="49" customFormat="1" ht="13" customHeight="1">
      <c r="T226" s="51"/>
      <c r="U226" s="51"/>
      <c r="V226" s="51"/>
      <c r="W226" s="51"/>
      <c r="X226" s="51"/>
      <c r="Y226" s="51"/>
      <c r="Z226" s="51"/>
      <c r="AA226" s="51"/>
      <c r="AB226" s="51"/>
      <c r="AC226" s="51"/>
      <c r="AD226" s="51"/>
      <c r="AE226" s="51"/>
      <c r="AF226" s="51"/>
      <c r="AG226" s="5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  <c r="CC226" s="51"/>
      <c r="CD226" s="51"/>
      <c r="CE226" s="51"/>
      <c r="CF226" s="51"/>
      <c r="CG226" s="51"/>
      <c r="CH226" s="51"/>
      <c r="CI226" s="51"/>
      <c r="CJ226" s="51"/>
      <c r="CK226" s="51"/>
      <c r="CL226" s="51"/>
      <c r="CM226" s="51"/>
      <c r="CN226" s="51"/>
      <c r="CO226" s="51"/>
      <c r="CP226" s="51"/>
    </row>
    <row r="227" spans="20:94" s="49" customFormat="1" ht="13" customHeight="1">
      <c r="T227" s="51"/>
      <c r="U227" s="51"/>
      <c r="V227" s="51"/>
      <c r="W227" s="51"/>
      <c r="X227" s="51"/>
      <c r="Y227" s="51"/>
      <c r="Z227" s="51"/>
      <c r="AA227" s="51"/>
      <c r="AB227" s="51"/>
      <c r="AC227" s="51"/>
      <c r="AD227" s="51"/>
      <c r="AE227" s="51"/>
      <c r="AF227" s="51"/>
      <c r="AG227" s="5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  <c r="CC227" s="51"/>
      <c r="CD227" s="51"/>
      <c r="CE227" s="51"/>
      <c r="CF227" s="51"/>
      <c r="CG227" s="51"/>
      <c r="CH227" s="51"/>
      <c r="CI227" s="51"/>
      <c r="CJ227" s="51"/>
      <c r="CK227" s="51"/>
      <c r="CL227" s="51"/>
      <c r="CM227" s="51"/>
      <c r="CN227" s="51"/>
      <c r="CO227" s="51"/>
      <c r="CP227" s="51"/>
    </row>
    <row r="228" spans="20:94" s="49" customFormat="1" ht="13" customHeight="1">
      <c r="T228" s="51"/>
      <c r="U228" s="51"/>
      <c r="V228" s="51"/>
      <c r="W228" s="51"/>
      <c r="X228" s="51"/>
      <c r="Y228" s="51"/>
      <c r="Z228" s="51"/>
      <c r="AA228" s="51"/>
      <c r="AB228" s="51"/>
      <c r="AC228" s="51"/>
      <c r="AD228" s="51"/>
      <c r="AE228" s="51"/>
      <c r="AF228" s="51"/>
      <c r="AG228" s="5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  <c r="CC228" s="51"/>
      <c r="CD228" s="51"/>
      <c r="CE228" s="51"/>
      <c r="CF228" s="51"/>
      <c r="CG228" s="51"/>
      <c r="CH228" s="51"/>
      <c r="CI228" s="51"/>
      <c r="CJ228" s="51"/>
      <c r="CK228" s="51"/>
      <c r="CL228" s="51"/>
      <c r="CM228" s="51"/>
      <c r="CN228" s="51"/>
      <c r="CO228" s="51"/>
      <c r="CP228" s="51"/>
    </row>
    <row r="229" spans="20:94" s="49" customFormat="1" ht="13" customHeight="1">
      <c r="T229" s="51"/>
      <c r="U229" s="51"/>
      <c r="V229" s="51"/>
      <c r="W229" s="51"/>
      <c r="X229" s="51"/>
      <c r="Y229" s="51"/>
      <c r="Z229" s="51"/>
      <c r="AA229" s="51"/>
      <c r="AB229" s="51"/>
      <c r="AC229" s="51"/>
      <c r="AD229" s="51"/>
      <c r="AE229" s="51"/>
      <c r="AF229" s="51"/>
      <c r="AG229" s="5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  <c r="CC229" s="51"/>
      <c r="CD229" s="51"/>
      <c r="CE229" s="51"/>
      <c r="CF229" s="51"/>
      <c r="CG229" s="51"/>
      <c r="CH229" s="51"/>
      <c r="CI229" s="51"/>
      <c r="CJ229" s="51"/>
      <c r="CK229" s="51"/>
      <c r="CL229" s="51"/>
      <c r="CM229" s="51"/>
      <c r="CN229" s="51"/>
      <c r="CO229" s="51"/>
      <c r="CP229" s="51"/>
    </row>
    <row r="230" spans="20:94" s="49" customFormat="1" ht="13" customHeight="1">
      <c r="T230" s="51"/>
      <c r="U230" s="51"/>
      <c r="V230" s="51"/>
      <c r="W230" s="51"/>
      <c r="X230" s="51"/>
      <c r="Y230" s="51"/>
      <c r="Z230" s="51"/>
      <c r="AA230" s="51"/>
      <c r="AB230" s="51"/>
      <c r="AC230" s="51"/>
      <c r="AD230" s="51"/>
      <c r="AE230" s="51"/>
      <c r="AF230" s="51"/>
      <c r="AG230" s="5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  <c r="CC230" s="51"/>
      <c r="CD230" s="51"/>
      <c r="CE230" s="51"/>
      <c r="CF230" s="51"/>
      <c r="CG230" s="51"/>
      <c r="CH230" s="51"/>
      <c r="CI230" s="51"/>
      <c r="CJ230" s="51"/>
      <c r="CK230" s="51"/>
      <c r="CL230" s="51"/>
      <c r="CM230" s="51"/>
      <c r="CN230" s="51"/>
      <c r="CO230" s="51"/>
      <c r="CP230" s="51"/>
    </row>
    <row r="231" spans="20:94" s="49" customFormat="1" ht="13" customHeight="1">
      <c r="T231" s="51"/>
      <c r="U231" s="51"/>
      <c r="V231" s="51"/>
      <c r="W231" s="51"/>
      <c r="X231" s="51"/>
      <c r="Y231" s="51"/>
      <c r="Z231" s="51"/>
      <c r="AA231" s="51"/>
      <c r="AB231" s="51"/>
      <c r="AC231" s="51"/>
      <c r="AD231" s="51"/>
      <c r="AE231" s="51"/>
      <c r="AF231" s="51"/>
      <c r="AG231" s="5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  <c r="CC231" s="51"/>
      <c r="CD231" s="51"/>
      <c r="CE231" s="51"/>
      <c r="CF231" s="51"/>
      <c r="CG231" s="51"/>
      <c r="CH231" s="51"/>
      <c r="CI231" s="51"/>
      <c r="CJ231" s="51"/>
      <c r="CK231" s="51"/>
      <c r="CL231" s="51"/>
      <c r="CM231" s="51"/>
      <c r="CN231" s="51"/>
      <c r="CO231" s="51"/>
      <c r="CP231" s="51"/>
    </row>
    <row r="232" spans="20:94" s="49" customFormat="1" ht="13" customHeight="1"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  <c r="CC232" s="51"/>
      <c r="CD232" s="51"/>
      <c r="CE232" s="51"/>
      <c r="CF232" s="51"/>
      <c r="CG232" s="51"/>
      <c r="CH232" s="51"/>
      <c r="CI232" s="51"/>
      <c r="CJ232" s="51"/>
      <c r="CK232" s="51"/>
      <c r="CL232" s="51"/>
      <c r="CM232" s="51"/>
      <c r="CN232" s="51"/>
      <c r="CO232" s="51"/>
      <c r="CP232" s="51"/>
    </row>
    <row r="233" spans="20:94" s="49" customFormat="1" ht="13" customHeight="1">
      <c r="T233" s="51"/>
      <c r="U233" s="51"/>
      <c r="V233" s="51"/>
      <c r="W233" s="51"/>
      <c r="X233" s="51"/>
      <c r="Y233" s="51"/>
      <c r="Z233" s="51"/>
      <c r="AA233" s="51"/>
      <c r="AB233" s="51"/>
      <c r="AC233" s="51"/>
      <c r="AD233" s="51"/>
      <c r="AE233" s="51"/>
      <c r="AF233" s="51"/>
      <c r="AG233" s="5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  <c r="CC233" s="51"/>
      <c r="CD233" s="51"/>
      <c r="CE233" s="51"/>
      <c r="CF233" s="51"/>
      <c r="CG233" s="51"/>
      <c r="CH233" s="51"/>
      <c r="CI233" s="51"/>
      <c r="CJ233" s="51"/>
      <c r="CK233" s="51"/>
      <c r="CL233" s="51"/>
      <c r="CM233" s="51"/>
      <c r="CN233" s="51"/>
      <c r="CO233" s="51"/>
      <c r="CP233" s="51"/>
    </row>
    <row r="234" spans="20:94" s="49" customFormat="1" ht="13" customHeight="1">
      <c r="T234" s="51"/>
      <c r="U234" s="51"/>
      <c r="V234" s="51"/>
      <c r="W234" s="51"/>
      <c r="X234" s="51"/>
      <c r="Y234" s="51"/>
      <c r="Z234" s="51"/>
      <c r="AA234" s="51"/>
      <c r="AB234" s="51"/>
      <c r="AC234" s="51"/>
      <c r="AD234" s="51"/>
      <c r="AE234" s="51"/>
      <c r="AF234" s="51"/>
      <c r="AG234" s="5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  <c r="CC234" s="51"/>
      <c r="CD234" s="51"/>
      <c r="CE234" s="51"/>
      <c r="CF234" s="51"/>
      <c r="CG234" s="51"/>
      <c r="CH234" s="51"/>
      <c r="CI234" s="51"/>
      <c r="CJ234" s="51"/>
      <c r="CK234" s="51"/>
      <c r="CL234" s="51"/>
      <c r="CM234" s="51"/>
      <c r="CN234" s="51"/>
      <c r="CO234" s="51"/>
      <c r="CP234" s="51"/>
    </row>
    <row r="235" spans="20:94" s="49" customFormat="1" ht="13" customHeight="1"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  <c r="CC235" s="51"/>
      <c r="CD235" s="51"/>
      <c r="CE235" s="51"/>
      <c r="CF235" s="51"/>
      <c r="CG235" s="51"/>
      <c r="CH235" s="51"/>
      <c r="CI235" s="51"/>
      <c r="CJ235" s="51"/>
      <c r="CK235" s="51"/>
      <c r="CL235" s="51"/>
      <c r="CM235" s="51"/>
      <c r="CN235" s="51"/>
      <c r="CO235" s="51"/>
      <c r="CP235" s="51"/>
    </row>
    <row r="236" spans="20:94" s="49" customFormat="1" ht="13" customHeight="1"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  <c r="CC236" s="51"/>
      <c r="CD236" s="51"/>
      <c r="CE236" s="51"/>
      <c r="CF236" s="51"/>
      <c r="CG236" s="51"/>
      <c r="CH236" s="51"/>
      <c r="CI236" s="51"/>
      <c r="CJ236" s="51"/>
      <c r="CK236" s="51"/>
      <c r="CL236" s="51"/>
      <c r="CM236" s="51"/>
      <c r="CN236" s="51"/>
      <c r="CO236" s="51"/>
      <c r="CP236" s="51"/>
    </row>
    <row r="237" spans="20:94" s="49" customFormat="1" ht="13" customHeight="1">
      <c r="T237" s="51"/>
      <c r="U237" s="51"/>
      <c r="V237" s="51"/>
      <c r="W237" s="51"/>
      <c r="X237" s="51"/>
      <c r="Y237" s="51"/>
      <c r="Z237" s="51"/>
      <c r="AA237" s="51"/>
      <c r="AB237" s="51"/>
      <c r="AC237" s="51"/>
      <c r="AD237" s="51"/>
      <c r="AE237" s="51"/>
      <c r="AF237" s="51"/>
      <c r="AG237" s="5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  <c r="CC237" s="51"/>
      <c r="CD237" s="51"/>
      <c r="CE237" s="51"/>
      <c r="CF237" s="51"/>
      <c r="CG237" s="51"/>
      <c r="CH237" s="51"/>
      <c r="CI237" s="51"/>
      <c r="CJ237" s="51"/>
      <c r="CK237" s="51"/>
      <c r="CL237" s="51"/>
      <c r="CM237" s="51"/>
      <c r="CN237" s="51"/>
      <c r="CO237" s="51"/>
      <c r="CP237" s="51"/>
    </row>
    <row r="238" spans="20:94" s="49" customFormat="1" ht="13" customHeight="1"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1"/>
      <c r="AE238" s="51"/>
      <c r="AF238" s="51"/>
      <c r="AG238" s="5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  <c r="CC238" s="51"/>
      <c r="CD238" s="51"/>
      <c r="CE238" s="51"/>
      <c r="CF238" s="51"/>
      <c r="CG238" s="51"/>
      <c r="CH238" s="51"/>
      <c r="CI238" s="51"/>
      <c r="CJ238" s="51"/>
      <c r="CK238" s="51"/>
      <c r="CL238" s="51"/>
      <c r="CM238" s="51"/>
      <c r="CN238" s="51"/>
      <c r="CO238" s="51"/>
      <c r="CP238" s="51"/>
    </row>
    <row r="239" spans="20:94" s="49" customFormat="1" ht="13" customHeight="1"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1"/>
      <c r="AE239" s="51"/>
      <c r="AF239" s="51"/>
      <c r="AG239" s="5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  <c r="CC239" s="51"/>
      <c r="CD239" s="51"/>
      <c r="CE239" s="51"/>
      <c r="CF239" s="51"/>
      <c r="CG239" s="51"/>
      <c r="CH239" s="51"/>
      <c r="CI239" s="51"/>
      <c r="CJ239" s="51"/>
      <c r="CK239" s="51"/>
      <c r="CL239" s="51"/>
      <c r="CM239" s="51"/>
      <c r="CN239" s="51"/>
      <c r="CO239" s="51"/>
      <c r="CP239" s="51"/>
    </row>
    <row r="240" spans="20:94" s="49" customFormat="1" ht="13" customHeight="1">
      <c r="T240" s="51"/>
      <c r="U240" s="51"/>
      <c r="V240" s="51"/>
      <c r="W240" s="51"/>
      <c r="X240" s="51"/>
      <c r="Y240" s="51"/>
      <c r="Z240" s="51"/>
      <c r="AA240" s="51"/>
      <c r="AB240" s="51"/>
      <c r="AC240" s="51"/>
      <c r="AD240" s="51"/>
      <c r="AE240" s="51"/>
      <c r="AF240" s="51"/>
      <c r="AG240" s="5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  <c r="CC240" s="51"/>
      <c r="CD240" s="51"/>
      <c r="CE240" s="51"/>
      <c r="CF240" s="51"/>
      <c r="CG240" s="51"/>
      <c r="CH240" s="51"/>
      <c r="CI240" s="51"/>
      <c r="CJ240" s="51"/>
      <c r="CK240" s="51"/>
      <c r="CL240" s="51"/>
      <c r="CM240" s="51"/>
      <c r="CN240" s="51"/>
      <c r="CO240" s="51"/>
      <c r="CP240" s="51"/>
    </row>
    <row r="241" spans="20:94" s="49" customFormat="1" ht="13" customHeight="1"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  <c r="CC241" s="51"/>
      <c r="CD241" s="51"/>
      <c r="CE241" s="51"/>
      <c r="CF241" s="51"/>
      <c r="CG241" s="51"/>
      <c r="CH241" s="51"/>
      <c r="CI241" s="51"/>
      <c r="CJ241" s="51"/>
      <c r="CK241" s="51"/>
      <c r="CL241" s="51"/>
      <c r="CM241" s="51"/>
      <c r="CN241" s="51"/>
      <c r="CO241" s="51"/>
      <c r="CP241" s="51"/>
    </row>
    <row r="242" spans="20:94" s="49" customFormat="1" ht="13" customHeight="1">
      <c r="T242" s="51"/>
      <c r="U242" s="51"/>
      <c r="V242" s="51"/>
      <c r="W242" s="51"/>
      <c r="X242" s="51"/>
      <c r="Y242" s="51"/>
      <c r="Z242" s="51"/>
      <c r="AA242" s="51"/>
      <c r="AB242" s="51"/>
      <c r="AC242" s="51"/>
      <c r="AD242" s="51"/>
      <c r="AE242" s="51"/>
      <c r="AF242" s="51"/>
      <c r="AG242" s="5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  <c r="CC242" s="51"/>
      <c r="CD242" s="51"/>
      <c r="CE242" s="51"/>
      <c r="CF242" s="51"/>
      <c r="CG242" s="51"/>
      <c r="CH242" s="51"/>
      <c r="CI242" s="51"/>
      <c r="CJ242" s="51"/>
      <c r="CK242" s="51"/>
      <c r="CL242" s="51"/>
      <c r="CM242" s="51"/>
      <c r="CN242" s="51"/>
      <c r="CO242" s="51"/>
      <c r="CP242" s="51"/>
    </row>
    <row r="243" spans="20:94" s="49" customFormat="1" ht="13" customHeight="1"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  <c r="CC243" s="51"/>
      <c r="CD243" s="51"/>
      <c r="CE243" s="51"/>
      <c r="CF243" s="51"/>
      <c r="CG243" s="51"/>
      <c r="CH243" s="51"/>
      <c r="CI243" s="51"/>
      <c r="CJ243" s="51"/>
      <c r="CK243" s="51"/>
      <c r="CL243" s="51"/>
      <c r="CM243" s="51"/>
      <c r="CN243" s="51"/>
      <c r="CO243" s="51"/>
      <c r="CP243" s="51"/>
    </row>
    <row r="244" spans="20:94" s="49" customFormat="1" ht="13" customHeight="1"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  <c r="CC244" s="51"/>
      <c r="CD244" s="51"/>
      <c r="CE244" s="51"/>
      <c r="CF244" s="51"/>
      <c r="CG244" s="51"/>
      <c r="CH244" s="51"/>
      <c r="CI244" s="51"/>
      <c r="CJ244" s="51"/>
      <c r="CK244" s="51"/>
      <c r="CL244" s="51"/>
      <c r="CM244" s="51"/>
      <c r="CN244" s="51"/>
      <c r="CO244" s="51"/>
      <c r="CP244" s="51"/>
    </row>
    <row r="245" spans="20:94" s="49" customFormat="1" ht="13" customHeight="1">
      <c r="T245" s="51"/>
      <c r="U245" s="51"/>
      <c r="V245" s="51"/>
      <c r="W245" s="51"/>
      <c r="X245" s="51"/>
      <c r="Y245" s="51"/>
      <c r="Z245" s="51"/>
      <c r="AA245" s="51"/>
      <c r="AB245" s="51"/>
      <c r="AC245" s="51"/>
      <c r="AD245" s="51"/>
      <c r="AE245" s="51"/>
      <c r="AF245" s="51"/>
      <c r="AG245" s="5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  <c r="CC245" s="51"/>
      <c r="CD245" s="51"/>
      <c r="CE245" s="51"/>
      <c r="CF245" s="51"/>
      <c r="CG245" s="51"/>
      <c r="CH245" s="51"/>
      <c r="CI245" s="51"/>
      <c r="CJ245" s="51"/>
      <c r="CK245" s="51"/>
      <c r="CL245" s="51"/>
      <c r="CM245" s="51"/>
      <c r="CN245" s="51"/>
      <c r="CO245" s="51"/>
      <c r="CP245" s="51"/>
    </row>
    <row r="246" spans="20:94" s="49" customFormat="1" ht="13" customHeight="1"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  <c r="CC246" s="51"/>
      <c r="CD246" s="51"/>
      <c r="CE246" s="51"/>
      <c r="CF246" s="51"/>
      <c r="CG246" s="51"/>
      <c r="CH246" s="51"/>
      <c r="CI246" s="51"/>
      <c r="CJ246" s="51"/>
      <c r="CK246" s="51"/>
      <c r="CL246" s="51"/>
      <c r="CM246" s="51"/>
      <c r="CN246" s="51"/>
      <c r="CO246" s="51"/>
      <c r="CP246" s="51"/>
    </row>
    <row r="247" spans="20:94" s="49" customFormat="1" ht="13" customHeight="1">
      <c r="T247" s="51"/>
      <c r="U247" s="51"/>
      <c r="V247" s="51"/>
      <c r="W247" s="51"/>
      <c r="X247" s="51"/>
      <c r="Y247" s="51"/>
      <c r="Z247" s="51"/>
      <c r="AA247" s="51"/>
      <c r="AB247" s="51"/>
      <c r="AC247" s="51"/>
      <c r="AD247" s="51"/>
      <c r="AE247" s="51"/>
      <c r="AF247" s="51"/>
      <c r="AG247" s="5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  <c r="CC247" s="51"/>
      <c r="CD247" s="51"/>
      <c r="CE247" s="51"/>
      <c r="CF247" s="51"/>
      <c r="CG247" s="51"/>
      <c r="CH247" s="51"/>
      <c r="CI247" s="51"/>
      <c r="CJ247" s="51"/>
      <c r="CK247" s="51"/>
      <c r="CL247" s="51"/>
      <c r="CM247" s="51"/>
      <c r="CN247" s="51"/>
      <c r="CO247" s="51"/>
      <c r="CP247" s="51"/>
    </row>
    <row r="248" spans="20:94" s="49" customFormat="1" ht="13" customHeight="1">
      <c r="T248" s="51"/>
      <c r="U248" s="51"/>
      <c r="V248" s="51"/>
      <c r="W248" s="51"/>
      <c r="X248" s="51"/>
      <c r="Y248" s="51"/>
      <c r="Z248" s="51"/>
      <c r="AA248" s="51"/>
      <c r="AB248" s="51"/>
      <c r="AC248" s="51"/>
      <c r="AD248" s="51"/>
      <c r="AE248" s="51"/>
      <c r="AF248" s="51"/>
      <c r="AG248" s="5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  <c r="CC248" s="51"/>
      <c r="CD248" s="51"/>
      <c r="CE248" s="51"/>
      <c r="CF248" s="51"/>
      <c r="CG248" s="51"/>
      <c r="CH248" s="51"/>
      <c r="CI248" s="51"/>
      <c r="CJ248" s="51"/>
      <c r="CK248" s="51"/>
      <c r="CL248" s="51"/>
      <c r="CM248" s="51"/>
      <c r="CN248" s="51"/>
      <c r="CO248" s="51"/>
      <c r="CP248" s="51"/>
    </row>
    <row r="249" spans="20:94" s="49" customFormat="1" ht="13" customHeight="1">
      <c r="T249" s="51"/>
      <c r="U249" s="51"/>
      <c r="V249" s="51"/>
      <c r="W249" s="51"/>
      <c r="X249" s="51"/>
      <c r="Y249" s="51"/>
      <c r="Z249" s="51"/>
      <c r="AA249" s="51"/>
      <c r="AB249" s="51"/>
      <c r="AC249" s="51"/>
      <c r="AD249" s="51"/>
      <c r="AE249" s="51"/>
      <c r="AF249" s="51"/>
      <c r="AG249" s="5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  <c r="CC249" s="51"/>
      <c r="CD249" s="51"/>
      <c r="CE249" s="51"/>
      <c r="CF249" s="51"/>
      <c r="CG249" s="51"/>
      <c r="CH249" s="51"/>
      <c r="CI249" s="51"/>
      <c r="CJ249" s="51"/>
      <c r="CK249" s="51"/>
      <c r="CL249" s="51"/>
      <c r="CM249" s="51"/>
      <c r="CN249" s="51"/>
      <c r="CO249" s="51"/>
      <c r="CP249" s="51"/>
    </row>
    <row r="250" spans="20:94" s="49" customFormat="1" ht="13" customHeight="1"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  <c r="CC250" s="51"/>
      <c r="CD250" s="51"/>
      <c r="CE250" s="51"/>
      <c r="CF250" s="51"/>
      <c r="CG250" s="51"/>
      <c r="CH250" s="51"/>
      <c r="CI250" s="51"/>
      <c r="CJ250" s="51"/>
      <c r="CK250" s="51"/>
      <c r="CL250" s="51"/>
      <c r="CM250" s="51"/>
      <c r="CN250" s="51"/>
      <c r="CO250" s="51"/>
      <c r="CP250" s="51"/>
    </row>
    <row r="251" spans="20:94" s="49" customFormat="1" ht="13" customHeight="1"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  <c r="CC251" s="51"/>
      <c r="CD251" s="51"/>
      <c r="CE251" s="51"/>
      <c r="CF251" s="51"/>
      <c r="CG251" s="51"/>
      <c r="CH251" s="51"/>
      <c r="CI251" s="51"/>
      <c r="CJ251" s="51"/>
      <c r="CK251" s="51"/>
      <c r="CL251" s="51"/>
      <c r="CM251" s="51"/>
      <c r="CN251" s="51"/>
      <c r="CO251" s="51"/>
      <c r="CP251" s="51"/>
    </row>
    <row r="252" spans="20:94" s="49" customFormat="1" ht="13" customHeight="1">
      <c r="T252" s="51"/>
      <c r="U252" s="51"/>
      <c r="V252" s="51"/>
      <c r="W252" s="51"/>
      <c r="X252" s="51"/>
      <c r="Y252" s="51"/>
      <c r="Z252" s="51"/>
      <c r="AA252" s="51"/>
      <c r="AB252" s="51"/>
      <c r="AC252" s="51"/>
      <c r="AD252" s="51"/>
      <c r="AE252" s="51"/>
      <c r="AF252" s="51"/>
      <c r="AG252" s="5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  <c r="CC252" s="51"/>
      <c r="CD252" s="51"/>
      <c r="CE252" s="51"/>
      <c r="CF252" s="51"/>
      <c r="CG252" s="51"/>
      <c r="CH252" s="51"/>
      <c r="CI252" s="51"/>
      <c r="CJ252" s="51"/>
      <c r="CK252" s="51"/>
      <c r="CL252" s="51"/>
      <c r="CM252" s="51"/>
      <c r="CN252" s="51"/>
      <c r="CO252" s="51"/>
      <c r="CP252" s="51"/>
    </row>
    <row r="253" spans="20:94" s="49" customFormat="1" ht="13" customHeight="1">
      <c r="T253" s="51"/>
      <c r="U253" s="51"/>
      <c r="V253" s="51"/>
      <c r="W253" s="51"/>
      <c r="X253" s="51"/>
      <c r="Y253" s="51"/>
      <c r="Z253" s="51"/>
      <c r="AA253" s="51"/>
      <c r="AB253" s="51"/>
      <c r="AC253" s="51"/>
      <c r="AD253" s="51"/>
      <c r="AE253" s="51"/>
      <c r="AF253" s="51"/>
      <c r="AG253" s="5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  <c r="CC253" s="51"/>
      <c r="CD253" s="51"/>
      <c r="CE253" s="51"/>
      <c r="CF253" s="51"/>
      <c r="CG253" s="51"/>
      <c r="CH253" s="51"/>
      <c r="CI253" s="51"/>
      <c r="CJ253" s="51"/>
      <c r="CK253" s="51"/>
      <c r="CL253" s="51"/>
      <c r="CM253" s="51"/>
      <c r="CN253" s="51"/>
      <c r="CO253" s="51"/>
      <c r="CP253" s="51"/>
    </row>
    <row r="254" spans="20:94" s="49" customFormat="1" ht="13" customHeight="1"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  <c r="CC254" s="51"/>
      <c r="CD254" s="51"/>
      <c r="CE254" s="51"/>
      <c r="CF254" s="51"/>
      <c r="CG254" s="51"/>
      <c r="CH254" s="51"/>
      <c r="CI254" s="51"/>
      <c r="CJ254" s="51"/>
      <c r="CK254" s="51"/>
      <c r="CL254" s="51"/>
      <c r="CM254" s="51"/>
      <c r="CN254" s="51"/>
      <c r="CO254" s="51"/>
      <c r="CP254" s="51"/>
    </row>
    <row r="255" spans="20:94" s="49" customFormat="1" ht="13" customHeight="1"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  <c r="CC255" s="51"/>
      <c r="CD255" s="51"/>
      <c r="CE255" s="51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</row>
    <row r="256" spans="20:94" s="49" customFormat="1" ht="13" customHeight="1">
      <c r="T256" s="51"/>
      <c r="U256" s="51"/>
      <c r="V256" s="51"/>
      <c r="W256" s="51"/>
      <c r="X256" s="51"/>
      <c r="Y256" s="51"/>
      <c r="Z256" s="51"/>
      <c r="AA256" s="51"/>
      <c r="AB256" s="51"/>
      <c r="AC256" s="51"/>
      <c r="AD256" s="51"/>
      <c r="AE256" s="51"/>
      <c r="AF256" s="51"/>
      <c r="AG256" s="5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  <c r="CC256" s="51"/>
      <c r="CD256" s="51"/>
      <c r="CE256" s="51"/>
      <c r="CF256" s="51"/>
      <c r="CG256" s="51"/>
      <c r="CH256" s="51"/>
      <c r="CI256" s="51"/>
      <c r="CJ256" s="51"/>
      <c r="CK256" s="51"/>
      <c r="CL256" s="51"/>
      <c r="CM256" s="51"/>
      <c r="CN256" s="51"/>
      <c r="CO256" s="51"/>
      <c r="CP256" s="51"/>
    </row>
    <row r="257" spans="20:94" s="49" customFormat="1" ht="13" customHeight="1">
      <c r="T257" s="51"/>
      <c r="U257" s="51"/>
      <c r="V257" s="51"/>
      <c r="W257" s="51"/>
      <c r="X257" s="51"/>
      <c r="Y257" s="51"/>
      <c r="Z257" s="51"/>
      <c r="AA257" s="51"/>
      <c r="AB257" s="51"/>
      <c r="AC257" s="51"/>
      <c r="AD257" s="51"/>
      <c r="AE257" s="51"/>
      <c r="AF257" s="51"/>
      <c r="AG257" s="5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  <c r="CC257" s="51"/>
      <c r="CD257" s="51"/>
      <c r="CE257" s="51"/>
      <c r="CF257" s="51"/>
      <c r="CG257" s="51"/>
      <c r="CH257" s="51"/>
      <c r="CI257" s="51"/>
      <c r="CJ257" s="51"/>
      <c r="CK257" s="51"/>
      <c r="CL257" s="51"/>
      <c r="CM257" s="51"/>
      <c r="CN257" s="51"/>
      <c r="CO257" s="51"/>
      <c r="CP257" s="51"/>
    </row>
    <row r="258" spans="20:94" s="49" customFormat="1" ht="13" customHeight="1">
      <c r="T258" s="51"/>
      <c r="U258" s="51"/>
      <c r="V258" s="51"/>
      <c r="W258" s="51"/>
      <c r="X258" s="51"/>
      <c r="Y258" s="51"/>
      <c r="Z258" s="51"/>
      <c r="AA258" s="51"/>
      <c r="AB258" s="51"/>
      <c r="AC258" s="51"/>
      <c r="AD258" s="51"/>
      <c r="AE258" s="51"/>
      <c r="AF258" s="51"/>
      <c r="AG258" s="5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  <c r="CC258" s="51"/>
      <c r="CD258" s="51"/>
      <c r="CE258" s="51"/>
      <c r="CF258" s="51"/>
      <c r="CG258" s="51"/>
      <c r="CH258" s="51"/>
      <c r="CI258" s="51"/>
      <c r="CJ258" s="51"/>
      <c r="CK258" s="51"/>
      <c r="CL258" s="51"/>
      <c r="CM258" s="51"/>
      <c r="CN258" s="51"/>
      <c r="CO258" s="51"/>
      <c r="CP258" s="51"/>
    </row>
    <row r="259" spans="20:94" s="49" customFormat="1" ht="13" customHeight="1">
      <c r="T259" s="51"/>
      <c r="U259" s="51"/>
      <c r="V259" s="51"/>
      <c r="W259" s="51"/>
      <c r="X259" s="51"/>
      <c r="Y259" s="51"/>
      <c r="Z259" s="51"/>
      <c r="AA259" s="51"/>
      <c r="AB259" s="51"/>
      <c r="AC259" s="51"/>
      <c r="AD259" s="51"/>
      <c r="AE259" s="51"/>
      <c r="AF259" s="51"/>
      <c r="AG259" s="5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  <c r="CC259" s="51"/>
      <c r="CD259" s="51"/>
      <c r="CE259" s="51"/>
      <c r="CF259" s="51"/>
      <c r="CG259" s="51"/>
      <c r="CH259" s="51"/>
      <c r="CI259" s="51"/>
      <c r="CJ259" s="51"/>
      <c r="CK259" s="51"/>
      <c r="CL259" s="51"/>
      <c r="CM259" s="51"/>
      <c r="CN259" s="51"/>
      <c r="CO259" s="51"/>
      <c r="CP259" s="51"/>
    </row>
    <row r="260" spans="20:94" s="49" customFormat="1" ht="13" customHeight="1"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  <c r="CC260" s="51"/>
      <c r="CD260" s="51"/>
      <c r="CE260" s="51"/>
      <c r="CF260" s="51"/>
      <c r="CG260" s="51"/>
      <c r="CH260" s="51"/>
      <c r="CI260" s="51"/>
      <c r="CJ260" s="51"/>
      <c r="CK260" s="51"/>
      <c r="CL260" s="51"/>
      <c r="CM260" s="51"/>
      <c r="CN260" s="51"/>
      <c r="CO260" s="51"/>
      <c r="CP260" s="51"/>
    </row>
    <row r="261" spans="20:94" s="49" customFormat="1" ht="13" customHeight="1"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  <c r="CC261" s="51"/>
      <c r="CD261" s="51"/>
      <c r="CE261" s="51"/>
      <c r="CF261" s="51"/>
      <c r="CG261" s="51"/>
      <c r="CH261" s="51"/>
      <c r="CI261" s="51"/>
      <c r="CJ261" s="51"/>
      <c r="CK261" s="51"/>
      <c r="CL261" s="51"/>
      <c r="CM261" s="51"/>
      <c r="CN261" s="51"/>
      <c r="CO261" s="51"/>
      <c r="CP261" s="51"/>
    </row>
    <row r="262" spans="20:94" s="49" customFormat="1" ht="13" customHeight="1">
      <c r="T262" s="51"/>
      <c r="U262" s="51"/>
      <c r="V262" s="51"/>
      <c r="W262" s="51"/>
      <c r="X262" s="51"/>
      <c r="Y262" s="51"/>
      <c r="Z262" s="51"/>
      <c r="AA262" s="51"/>
      <c r="AB262" s="51"/>
      <c r="AC262" s="51"/>
      <c r="AD262" s="51"/>
      <c r="AE262" s="51"/>
      <c r="AF262" s="51"/>
      <c r="AG262" s="5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  <c r="CC262" s="51"/>
      <c r="CD262" s="51"/>
      <c r="CE262" s="51"/>
      <c r="CF262" s="51"/>
      <c r="CG262" s="51"/>
      <c r="CH262" s="51"/>
      <c r="CI262" s="51"/>
      <c r="CJ262" s="51"/>
      <c r="CK262" s="51"/>
      <c r="CL262" s="51"/>
      <c r="CM262" s="51"/>
      <c r="CN262" s="51"/>
      <c r="CO262" s="51"/>
      <c r="CP262" s="51"/>
    </row>
    <row r="263" spans="20:94" s="49" customFormat="1" ht="13" customHeight="1">
      <c r="T263" s="51"/>
      <c r="U263" s="51"/>
      <c r="V263" s="51"/>
      <c r="W263" s="51"/>
      <c r="X263" s="51"/>
      <c r="Y263" s="51"/>
      <c r="Z263" s="51"/>
      <c r="AA263" s="51"/>
      <c r="AB263" s="51"/>
      <c r="AC263" s="51"/>
      <c r="AD263" s="51"/>
      <c r="AE263" s="51"/>
      <c r="AF263" s="51"/>
      <c r="AG263" s="5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  <c r="CC263" s="51"/>
      <c r="CD263" s="51"/>
      <c r="CE263" s="51"/>
      <c r="CF263" s="51"/>
      <c r="CG263" s="51"/>
      <c r="CH263" s="51"/>
      <c r="CI263" s="51"/>
      <c r="CJ263" s="51"/>
      <c r="CK263" s="51"/>
      <c r="CL263" s="51"/>
      <c r="CM263" s="51"/>
      <c r="CN263" s="51"/>
      <c r="CO263" s="51"/>
      <c r="CP263" s="51"/>
    </row>
    <row r="264" spans="20:94" s="49" customFormat="1" ht="13" customHeight="1">
      <c r="T264" s="51"/>
      <c r="U264" s="51"/>
      <c r="V264" s="51"/>
      <c r="W264" s="51"/>
      <c r="X264" s="51"/>
      <c r="Y264" s="51"/>
      <c r="Z264" s="51"/>
      <c r="AA264" s="51"/>
      <c r="AB264" s="51"/>
      <c r="AC264" s="51"/>
      <c r="AD264" s="51"/>
      <c r="AE264" s="51"/>
      <c r="AF264" s="51"/>
      <c r="AG264" s="5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  <c r="CC264" s="51"/>
      <c r="CD264" s="51"/>
      <c r="CE264" s="51"/>
      <c r="CF264" s="51"/>
      <c r="CG264" s="51"/>
      <c r="CH264" s="51"/>
      <c r="CI264" s="51"/>
      <c r="CJ264" s="51"/>
      <c r="CK264" s="51"/>
      <c r="CL264" s="51"/>
      <c r="CM264" s="51"/>
      <c r="CN264" s="51"/>
      <c r="CO264" s="51"/>
      <c r="CP264" s="51"/>
    </row>
    <row r="265" spans="20:94" s="49" customFormat="1" ht="13" customHeight="1">
      <c r="T265" s="51"/>
      <c r="U265" s="51"/>
      <c r="V265" s="51"/>
      <c r="W265" s="51"/>
      <c r="X265" s="51"/>
      <c r="Y265" s="51"/>
      <c r="Z265" s="51"/>
      <c r="AA265" s="51"/>
      <c r="AB265" s="51"/>
      <c r="AC265" s="51"/>
      <c r="AD265" s="51"/>
      <c r="AE265" s="51"/>
      <c r="AF265" s="51"/>
      <c r="AG265" s="5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  <c r="CC265" s="51"/>
      <c r="CD265" s="51"/>
      <c r="CE265" s="51"/>
      <c r="CF265" s="51"/>
      <c r="CG265" s="51"/>
      <c r="CH265" s="51"/>
      <c r="CI265" s="51"/>
      <c r="CJ265" s="51"/>
      <c r="CK265" s="51"/>
      <c r="CL265" s="51"/>
      <c r="CM265" s="51"/>
      <c r="CN265" s="51"/>
      <c r="CO265" s="51"/>
      <c r="CP265" s="51"/>
    </row>
    <row r="266" spans="20:94" s="49" customFormat="1" ht="13" customHeight="1"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  <c r="CC266" s="51"/>
      <c r="CD266" s="51"/>
      <c r="CE266" s="51"/>
      <c r="CF266" s="51"/>
      <c r="CG266" s="51"/>
      <c r="CH266" s="51"/>
      <c r="CI266" s="51"/>
      <c r="CJ266" s="51"/>
      <c r="CK266" s="51"/>
      <c r="CL266" s="51"/>
      <c r="CM266" s="51"/>
      <c r="CN266" s="51"/>
      <c r="CO266" s="51"/>
      <c r="CP266" s="51"/>
    </row>
    <row r="267" spans="20:94" s="49" customFormat="1" ht="13" customHeight="1">
      <c r="T267" s="51"/>
      <c r="U267" s="51"/>
      <c r="V267" s="51"/>
      <c r="W267" s="51"/>
      <c r="X267" s="51"/>
      <c r="Y267" s="51"/>
      <c r="Z267" s="51"/>
      <c r="AA267" s="51"/>
      <c r="AB267" s="51"/>
      <c r="AC267" s="51"/>
      <c r="AD267" s="51"/>
      <c r="AE267" s="51"/>
      <c r="AF267" s="51"/>
      <c r="AG267" s="5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  <c r="CC267" s="51"/>
      <c r="CD267" s="51"/>
      <c r="CE267" s="51"/>
      <c r="CF267" s="51"/>
      <c r="CG267" s="51"/>
      <c r="CH267" s="51"/>
      <c r="CI267" s="51"/>
      <c r="CJ267" s="51"/>
      <c r="CK267" s="51"/>
      <c r="CL267" s="51"/>
      <c r="CM267" s="51"/>
      <c r="CN267" s="51"/>
      <c r="CO267" s="51"/>
      <c r="CP267" s="51"/>
    </row>
    <row r="268" spans="20:94" s="49" customFormat="1" ht="13" customHeight="1">
      <c r="T268" s="51"/>
      <c r="U268" s="51"/>
      <c r="V268" s="51"/>
      <c r="W268" s="51"/>
      <c r="X268" s="51"/>
      <c r="Y268" s="51"/>
      <c r="Z268" s="51"/>
      <c r="AA268" s="51"/>
      <c r="AB268" s="51"/>
      <c r="AC268" s="51"/>
      <c r="AD268" s="51"/>
      <c r="AE268" s="51"/>
      <c r="AF268" s="51"/>
      <c r="AG268" s="5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  <c r="CC268" s="51"/>
      <c r="CD268" s="51"/>
      <c r="CE268" s="51"/>
      <c r="CF268" s="51"/>
      <c r="CG268" s="51"/>
      <c r="CH268" s="51"/>
      <c r="CI268" s="51"/>
      <c r="CJ268" s="51"/>
      <c r="CK268" s="51"/>
      <c r="CL268" s="51"/>
      <c r="CM268" s="51"/>
      <c r="CN268" s="51"/>
      <c r="CO268" s="51"/>
      <c r="CP268" s="51"/>
    </row>
    <row r="269" spans="20:94" s="49" customFormat="1" ht="13" customHeight="1">
      <c r="T269" s="51"/>
      <c r="U269" s="51"/>
      <c r="V269" s="51"/>
      <c r="W269" s="51"/>
      <c r="X269" s="51"/>
      <c r="Y269" s="51"/>
      <c r="Z269" s="51"/>
      <c r="AA269" s="51"/>
      <c r="AB269" s="51"/>
      <c r="AC269" s="51"/>
      <c r="AD269" s="51"/>
      <c r="AE269" s="51"/>
      <c r="AF269" s="51"/>
      <c r="AG269" s="5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  <c r="CC269" s="51"/>
      <c r="CD269" s="51"/>
      <c r="CE269" s="51"/>
      <c r="CF269" s="51"/>
      <c r="CG269" s="51"/>
      <c r="CH269" s="51"/>
      <c r="CI269" s="51"/>
      <c r="CJ269" s="51"/>
      <c r="CK269" s="51"/>
      <c r="CL269" s="51"/>
      <c r="CM269" s="51"/>
      <c r="CN269" s="51"/>
      <c r="CO269" s="51"/>
      <c r="CP269" s="51"/>
    </row>
    <row r="270" spans="20:94" s="49" customFormat="1" ht="13" customHeight="1">
      <c r="T270" s="51"/>
      <c r="U270" s="51"/>
      <c r="V270" s="51"/>
      <c r="W270" s="51"/>
      <c r="X270" s="51"/>
      <c r="Y270" s="51"/>
      <c r="Z270" s="51"/>
      <c r="AA270" s="51"/>
      <c r="AB270" s="51"/>
      <c r="AC270" s="51"/>
      <c r="AD270" s="51"/>
      <c r="AE270" s="51"/>
      <c r="AF270" s="51"/>
      <c r="AG270" s="5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  <c r="CC270" s="51"/>
      <c r="CD270" s="51"/>
      <c r="CE270" s="51"/>
      <c r="CF270" s="51"/>
      <c r="CG270" s="51"/>
      <c r="CH270" s="51"/>
      <c r="CI270" s="51"/>
      <c r="CJ270" s="51"/>
      <c r="CK270" s="51"/>
      <c r="CL270" s="51"/>
      <c r="CM270" s="51"/>
      <c r="CN270" s="51"/>
      <c r="CO270" s="51"/>
      <c r="CP270" s="51"/>
    </row>
    <row r="271" spans="20:94" s="49" customFormat="1" ht="13" customHeight="1">
      <c r="T271" s="51"/>
      <c r="U271" s="51"/>
      <c r="V271" s="51"/>
      <c r="W271" s="51"/>
      <c r="X271" s="51"/>
      <c r="Y271" s="51"/>
      <c r="Z271" s="51"/>
      <c r="AA271" s="51"/>
      <c r="AB271" s="51"/>
      <c r="AC271" s="51"/>
      <c r="AD271" s="51"/>
      <c r="AE271" s="51"/>
      <c r="AF271" s="51"/>
      <c r="AG271" s="5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  <c r="CC271" s="51"/>
      <c r="CD271" s="51"/>
      <c r="CE271" s="51"/>
      <c r="CF271" s="51"/>
      <c r="CG271" s="51"/>
      <c r="CH271" s="51"/>
      <c r="CI271" s="51"/>
      <c r="CJ271" s="51"/>
      <c r="CK271" s="51"/>
      <c r="CL271" s="51"/>
      <c r="CM271" s="51"/>
      <c r="CN271" s="51"/>
      <c r="CO271" s="51"/>
      <c r="CP271" s="51"/>
    </row>
    <row r="272" spans="20:94" s="49" customFormat="1" ht="13" customHeight="1">
      <c r="T272" s="51"/>
      <c r="U272" s="51"/>
      <c r="V272" s="51"/>
      <c r="W272" s="51"/>
      <c r="X272" s="51"/>
      <c r="Y272" s="51"/>
      <c r="Z272" s="51"/>
      <c r="AA272" s="51"/>
      <c r="AB272" s="51"/>
      <c r="AC272" s="51"/>
      <c r="AD272" s="51"/>
      <c r="AE272" s="51"/>
      <c r="AF272" s="51"/>
      <c r="AG272" s="5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  <c r="CC272" s="51"/>
      <c r="CD272" s="51"/>
      <c r="CE272" s="51"/>
      <c r="CF272" s="51"/>
      <c r="CG272" s="51"/>
      <c r="CH272" s="51"/>
      <c r="CI272" s="51"/>
      <c r="CJ272" s="51"/>
      <c r="CK272" s="51"/>
      <c r="CL272" s="51"/>
      <c r="CM272" s="51"/>
      <c r="CN272" s="51"/>
      <c r="CO272" s="51"/>
      <c r="CP272" s="51"/>
    </row>
    <row r="273" spans="20:94" s="49" customFormat="1" ht="13" customHeight="1">
      <c r="T273" s="51"/>
      <c r="U273" s="51"/>
      <c r="V273" s="51"/>
      <c r="W273" s="51"/>
      <c r="X273" s="51"/>
      <c r="Y273" s="51"/>
      <c r="Z273" s="51"/>
      <c r="AA273" s="51"/>
      <c r="AB273" s="51"/>
      <c r="AC273" s="51"/>
      <c r="AD273" s="51"/>
      <c r="AE273" s="51"/>
      <c r="AF273" s="51"/>
      <c r="AG273" s="5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  <c r="CC273" s="51"/>
      <c r="CD273" s="51"/>
      <c r="CE273" s="51"/>
      <c r="CF273" s="51"/>
      <c r="CG273" s="51"/>
      <c r="CH273" s="51"/>
      <c r="CI273" s="51"/>
      <c r="CJ273" s="51"/>
      <c r="CK273" s="51"/>
      <c r="CL273" s="51"/>
      <c r="CM273" s="51"/>
      <c r="CN273" s="51"/>
      <c r="CO273" s="51"/>
      <c r="CP273" s="51"/>
    </row>
    <row r="274" spans="20:94" s="49" customFormat="1" ht="13" customHeight="1">
      <c r="T274" s="51"/>
      <c r="U274" s="51"/>
      <c r="V274" s="51"/>
      <c r="W274" s="51"/>
      <c r="X274" s="51"/>
      <c r="Y274" s="51"/>
      <c r="Z274" s="51"/>
      <c r="AA274" s="51"/>
      <c r="AB274" s="51"/>
      <c r="AC274" s="51"/>
      <c r="AD274" s="51"/>
      <c r="AE274" s="51"/>
      <c r="AF274" s="51"/>
      <c r="AG274" s="5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  <c r="CC274" s="51"/>
      <c r="CD274" s="51"/>
      <c r="CE274" s="51"/>
      <c r="CF274" s="51"/>
      <c r="CG274" s="51"/>
      <c r="CH274" s="51"/>
      <c r="CI274" s="51"/>
      <c r="CJ274" s="51"/>
      <c r="CK274" s="51"/>
      <c r="CL274" s="51"/>
      <c r="CM274" s="51"/>
      <c r="CN274" s="51"/>
      <c r="CO274" s="51"/>
      <c r="CP274" s="51"/>
    </row>
    <row r="275" spans="20:94" s="49" customFormat="1" ht="13" customHeight="1"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5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  <c r="CC275" s="51"/>
      <c r="CD275" s="51"/>
      <c r="CE275" s="51"/>
      <c r="CF275" s="51"/>
      <c r="CG275" s="51"/>
      <c r="CH275" s="51"/>
      <c r="CI275" s="51"/>
      <c r="CJ275" s="51"/>
      <c r="CK275" s="51"/>
      <c r="CL275" s="51"/>
      <c r="CM275" s="51"/>
      <c r="CN275" s="51"/>
      <c r="CO275" s="51"/>
      <c r="CP275" s="51"/>
    </row>
    <row r="276" spans="20:94" s="49" customFormat="1" ht="13" customHeight="1"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  <c r="CC276" s="51"/>
      <c r="CD276" s="51"/>
      <c r="CE276" s="51"/>
      <c r="CF276" s="51"/>
      <c r="CG276" s="51"/>
      <c r="CH276" s="51"/>
      <c r="CI276" s="51"/>
      <c r="CJ276" s="51"/>
      <c r="CK276" s="51"/>
      <c r="CL276" s="51"/>
      <c r="CM276" s="51"/>
      <c r="CN276" s="51"/>
      <c r="CO276" s="51"/>
      <c r="CP276" s="51"/>
    </row>
    <row r="277" spans="20:94" s="49" customFormat="1" ht="13" customHeight="1"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  <c r="CC277" s="51"/>
      <c r="CD277" s="51"/>
      <c r="CE277" s="51"/>
      <c r="CF277" s="51"/>
      <c r="CG277" s="51"/>
      <c r="CH277" s="51"/>
      <c r="CI277" s="51"/>
      <c r="CJ277" s="51"/>
      <c r="CK277" s="51"/>
      <c r="CL277" s="51"/>
      <c r="CM277" s="51"/>
      <c r="CN277" s="51"/>
      <c r="CO277" s="51"/>
      <c r="CP277" s="51"/>
    </row>
    <row r="278" spans="20:94" s="49" customFormat="1" ht="13" customHeight="1"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  <c r="CC278" s="51"/>
      <c r="CD278" s="51"/>
      <c r="CE278" s="51"/>
      <c r="CF278" s="51"/>
      <c r="CG278" s="51"/>
      <c r="CH278" s="51"/>
      <c r="CI278" s="51"/>
      <c r="CJ278" s="51"/>
      <c r="CK278" s="51"/>
      <c r="CL278" s="51"/>
      <c r="CM278" s="51"/>
      <c r="CN278" s="51"/>
      <c r="CO278" s="51"/>
      <c r="CP278" s="51"/>
    </row>
    <row r="279" spans="20:94" s="49" customFormat="1" ht="13" customHeight="1">
      <c r="T279" s="51"/>
      <c r="U279" s="51"/>
      <c r="V279" s="51"/>
      <c r="W279" s="51"/>
      <c r="X279" s="51"/>
      <c r="Y279" s="51"/>
      <c r="Z279" s="51"/>
      <c r="AA279" s="51"/>
      <c r="AB279" s="51"/>
      <c r="AC279" s="51"/>
      <c r="AD279" s="51"/>
      <c r="AE279" s="51"/>
      <c r="AF279" s="51"/>
      <c r="AG279" s="5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  <c r="CC279" s="51"/>
      <c r="CD279" s="51"/>
      <c r="CE279" s="51"/>
      <c r="CF279" s="51"/>
      <c r="CG279" s="51"/>
      <c r="CH279" s="51"/>
      <c r="CI279" s="51"/>
      <c r="CJ279" s="51"/>
      <c r="CK279" s="51"/>
      <c r="CL279" s="51"/>
      <c r="CM279" s="51"/>
      <c r="CN279" s="51"/>
      <c r="CO279" s="51"/>
      <c r="CP279" s="51"/>
    </row>
    <row r="280" spans="20:94" s="49" customFormat="1" ht="13" customHeight="1">
      <c r="T280" s="51"/>
      <c r="U280" s="51"/>
      <c r="V280" s="51"/>
      <c r="W280" s="51"/>
      <c r="X280" s="51"/>
      <c r="Y280" s="51"/>
      <c r="Z280" s="51"/>
      <c r="AA280" s="51"/>
      <c r="AB280" s="51"/>
      <c r="AC280" s="51"/>
      <c r="AD280" s="51"/>
      <c r="AE280" s="51"/>
      <c r="AF280" s="51"/>
      <c r="AG280" s="5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  <c r="CC280" s="51"/>
      <c r="CD280" s="51"/>
      <c r="CE280" s="51"/>
      <c r="CF280" s="51"/>
      <c r="CG280" s="51"/>
      <c r="CH280" s="51"/>
      <c r="CI280" s="51"/>
      <c r="CJ280" s="51"/>
      <c r="CK280" s="51"/>
      <c r="CL280" s="51"/>
      <c r="CM280" s="51"/>
      <c r="CN280" s="51"/>
      <c r="CO280" s="51"/>
      <c r="CP280" s="51"/>
    </row>
    <row r="281" spans="20:94" s="49" customFormat="1" ht="13" customHeight="1"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  <c r="CC281" s="51"/>
      <c r="CD281" s="51"/>
      <c r="CE281" s="51"/>
      <c r="CF281" s="51"/>
      <c r="CG281" s="51"/>
      <c r="CH281" s="51"/>
      <c r="CI281" s="51"/>
      <c r="CJ281" s="51"/>
      <c r="CK281" s="51"/>
      <c r="CL281" s="51"/>
      <c r="CM281" s="51"/>
      <c r="CN281" s="51"/>
      <c r="CO281" s="51"/>
      <c r="CP281" s="51"/>
    </row>
    <row r="282" spans="20:94" s="49" customFormat="1" ht="13" customHeight="1"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  <c r="CC282" s="51"/>
      <c r="CD282" s="51"/>
      <c r="CE282" s="51"/>
      <c r="CF282" s="51"/>
      <c r="CG282" s="51"/>
      <c r="CH282" s="51"/>
      <c r="CI282" s="51"/>
      <c r="CJ282" s="51"/>
      <c r="CK282" s="51"/>
      <c r="CL282" s="51"/>
      <c r="CM282" s="51"/>
      <c r="CN282" s="51"/>
      <c r="CO282" s="51"/>
      <c r="CP282" s="51"/>
    </row>
    <row r="283" spans="20:94" s="49" customFormat="1" ht="13" customHeight="1"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  <c r="CC283" s="51"/>
      <c r="CD283" s="51"/>
      <c r="CE283" s="51"/>
      <c r="CF283" s="51"/>
      <c r="CG283" s="51"/>
      <c r="CH283" s="51"/>
      <c r="CI283" s="51"/>
      <c r="CJ283" s="51"/>
      <c r="CK283" s="51"/>
      <c r="CL283" s="51"/>
      <c r="CM283" s="51"/>
      <c r="CN283" s="51"/>
      <c r="CO283" s="51"/>
      <c r="CP283" s="51"/>
    </row>
    <row r="284" spans="20:94" s="49" customFormat="1" ht="13" customHeight="1"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  <c r="CC284" s="51"/>
      <c r="CD284" s="51"/>
      <c r="CE284" s="51"/>
      <c r="CF284" s="51"/>
      <c r="CG284" s="51"/>
      <c r="CH284" s="51"/>
      <c r="CI284" s="51"/>
      <c r="CJ284" s="51"/>
      <c r="CK284" s="51"/>
      <c r="CL284" s="51"/>
      <c r="CM284" s="51"/>
      <c r="CN284" s="51"/>
      <c r="CO284" s="51"/>
      <c r="CP284" s="51"/>
    </row>
    <row r="285" spans="20:94" s="49" customFormat="1" ht="13" customHeight="1"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  <c r="CC285" s="51"/>
      <c r="CD285" s="51"/>
      <c r="CE285" s="51"/>
      <c r="CF285" s="51"/>
      <c r="CG285" s="51"/>
      <c r="CH285" s="51"/>
      <c r="CI285" s="51"/>
      <c r="CJ285" s="51"/>
      <c r="CK285" s="51"/>
      <c r="CL285" s="51"/>
      <c r="CM285" s="51"/>
      <c r="CN285" s="51"/>
      <c r="CO285" s="51"/>
      <c r="CP285" s="51"/>
    </row>
    <row r="286" spans="20:94" s="49" customFormat="1" ht="13" customHeight="1"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  <c r="CC286" s="51"/>
      <c r="CD286" s="51"/>
      <c r="CE286" s="51"/>
      <c r="CF286" s="51"/>
      <c r="CG286" s="51"/>
      <c r="CH286" s="51"/>
      <c r="CI286" s="51"/>
      <c r="CJ286" s="51"/>
      <c r="CK286" s="51"/>
      <c r="CL286" s="51"/>
      <c r="CM286" s="51"/>
      <c r="CN286" s="51"/>
      <c r="CO286" s="51"/>
      <c r="CP286" s="51"/>
    </row>
    <row r="287" spans="20:94" s="49" customFormat="1" ht="13" customHeight="1"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  <c r="CC287" s="51"/>
      <c r="CD287" s="51"/>
      <c r="CE287" s="51"/>
      <c r="CF287" s="51"/>
      <c r="CG287" s="51"/>
      <c r="CH287" s="51"/>
      <c r="CI287" s="51"/>
      <c r="CJ287" s="51"/>
      <c r="CK287" s="51"/>
      <c r="CL287" s="51"/>
      <c r="CM287" s="51"/>
      <c r="CN287" s="51"/>
      <c r="CO287" s="51"/>
      <c r="CP287" s="51"/>
    </row>
    <row r="288" spans="20:94" s="49" customFormat="1" ht="13" customHeight="1"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  <c r="CC288" s="51"/>
      <c r="CD288" s="51"/>
      <c r="CE288" s="51"/>
      <c r="CF288" s="51"/>
      <c r="CG288" s="51"/>
      <c r="CH288" s="51"/>
      <c r="CI288" s="51"/>
      <c r="CJ288" s="51"/>
      <c r="CK288" s="51"/>
      <c r="CL288" s="51"/>
      <c r="CM288" s="51"/>
      <c r="CN288" s="51"/>
      <c r="CO288" s="51"/>
      <c r="CP288" s="51"/>
    </row>
    <row r="289" spans="20:94" s="49" customFormat="1" ht="13" customHeight="1"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  <c r="CC289" s="51"/>
      <c r="CD289" s="51"/>
      <c r="CE289" s="51"/>
      <c r="CF289" s="51"/>
      <c r="CG289" s="51"/>
      <c r="CH289" s="51"/>
      <c r="CI289" s="51"/>
      <c r="CJ289" s="51"/>
      <c r="CK289" s="51"/>
      <c r="CL289" s="51"/>
      <c r="CM289" s="51"/>
      <c r="CN289" s="51"/>
      <c r="CO289" s="51"/>
      <c r="CP289" s="51"/>
    </row>
    <row r="290" spans="20:94" s="49" customFormat="1" ht="13" customHeight="1"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  <c r="CC290" s="51"/>
      <c r="CD290" s="51"/>
      <c r="CE290" s="51"/>
      <c r="CF290" s="51"/>
      <c r="CG290" s="51"/>
      <c r="CH290" s="51"/>
      <c r="CI290" s="51"/>
      <c r="CJ290" s="51"/>
      <c r="CK290" s="51"/>
      <c r="CL290" s="51"/>
      <c r="CM290" s="51"/>
      <c r="CN290" s="51"/>
      <c r="CO290" s="51"/>
      <c r="CP290" s="51"/>
    </row>
    <row r="291" spans="20:94" s="49" customFormat="1" ht="13" customHeight="1"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  <c r="CC291" s="51"/>
      <c r="CD291" s="51"/>
      <c r="CE291" s="51"/>
      <c r="CF291" s="51"/>
      <c r="CG291" s="51"/>
      <c r="CH291" s="51"/>
      <c r="CI291" s="51"/>
      <c r="CJ291" s="51"/>
      <c r="CK291" s="51"/>
      <c r="CL291" s="51"/>
      <c r="CM291" s="51"/>
      <c r="CN291" s="51"/>
      <c r="CO291" s="51"/>
      <c r="CP291" s="51"/>
    </row>
    <row r="292" spans="20:94" s="49" customFormat="1" ht="13" customHeight="1"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  <c r="CC292" s="51"/>
      <c r="CD292" s="51"/>
      <c r="CE292" s="51"/>
      <c r="CF292" s="51"/>
      <c r="CG292" s="51"/>
      <c r="CH292" s="51"/>
      <c r="CI292" s="51"/>
      <c r="CJ292" s="51"/>
      <c r="CK292" s="51"/>
      <c r="CL292" s="51"/>
      <c r="CM292" s="51"/>
      <c r="CN292" s="51"/>
      <c r="CO292" s="51"/>
      <c r="CP292" s="51"/>
    </row>
    <row r="293" spans="20:94" s="49" customFormat="1" ht="13" customHeight="1"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  <c r="CC293" s="51"/>
      <c r="CD293" s="51"/>
      <c r="CE293" s="51"/>
      <c r="CF293" s="51"/>
      <c r="CG293" s="51"/>
      <c r="CH293" s="51"/>
      <c r="CI293" s="51"/>
      <c r="CJ293" s="51"/>
      <c r="CK293" s="51"/>
      <c r="CL293" s="51"/>
      <c r="CM293" s="51"/>
      <c r="CN293" s="51"/>
      <c r="CO293" s="51"/>
      <c r="CP293" s="51"/>
    </row>
    <row r="294" spans="20:94" s="49" customFormat="1" ht="13" customHeight="1"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  <c r="CC294" s="51"/>
      <c r="CD294" s="51"/>
      <c r="CE294" s="51"/>
      <c r="CF294" s="51"/>
      <c r="CG294" s="51"/>
      <c r="CH294" s="51"/>
      <c r="CI294" s="51"/>
      <c r="CJ294" s="51"/>
      <c r="CK294" s="51"/>
      <c r="CL294" s="51"/>
      <c r="CM294" s="51"/>
      <c r="CN294" s="51"/>
      <c r="CO294" s="51"/>
      <c r="CP294" s="51"/>
    </row>
    <row r="295" spans="20:94" s="49" customFormat="1" ht="13" customHeight="1"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  <c r="CC295" s="51"/>
      <c r="CD295" s="51"/>
      <c r="CE295" s="51"/>
      <c r="CF295" s="51"/>
      <c r="CG295" s="51"/>
      <c r="CH295" s="51"/>
      <c r="CI295" s="51"/>
      <c r="CJ295" s="51"/>
      <c r="CK295" s="51"/>
      <c r="CL295" s="51"/>
      <c r="CM295" s="51"/>
      <c r="CN295" s="51"/>
      <c r="CO295" s="51"/>
      <c r="CP295" s="51"/>
    </row>
    <row r="296" spans="20:94" s="49" customFormat="1" ht="13" customHeight="1"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  <c r="CC296" s="51"/>
      <c r="CD296" s="51"/>
      <c r="CE296" s="51"/>
      <c r="CF296" s="51"/>
      <c r="CG296" s="51"/>
      <c r="CH296" s="51"/>
      <c r="CI296" s="51"/>
      <c r="CJ296" s="51"/>
      <c r="CK296" s="51"/>
      <c r="CL296" s="51"/>
      <c r="CM296" s="51"/>
      <c r="CN296" s="51"/>
      <c r="CO296" s="51"/>
      <c r="CP296" s="51"/>
    </row>
    <row r="297" spans="20:94" s="49" customFormat="1" ht="13" customHeight="1"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  <c r="CC297" s="51"/>
      <c r="CD297" s="51"/>
      <c r="CE297" s="51"/>
      <c r="CF297" s="51"/>
      <c r="CG297" s="51"/>
      <c r="CH297" s="51"/>
      <c r="CI297" s="51"/>
      <c r="CJ297" s="51"/>
      <c r="CK297" s="51"/>
      <c r="CL297" s="51"/>
      <c r="CM297" s="51"/>
      <c r="CN297" s="51"/>
      <c r="CO297" s="51"/>
      <c r="CP297" s="51"/>
    </row>
    <row r="298" spans="20:94" s="49" customFormat="1" ht="13" customHeight="1"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  <c r="CC298" s="51"/>
      <c r="CD298" s="51"/>
      <c r="CE298" s="51"/>
      <c r="CF298" s="51"/>
      <c r="CG298" s="51"/>
      <c r="CH298" s="51"/>
      <c r="CI298" s="51"/>
      <c r="CJ298" s="51"/>
      <c r="CK298" s="51"/>
      <c r="CL298" s="51"/>
      <c r="CM298" s="51"/>
      <c r="CN298" s="51"/>
      <c r="CO298" s="51"/>
      <c r="CP298" s="51"/>
    </row>
    <row r="299" spans="20:94" s="49" customFormat="1" ht="13" customHeight="1"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  <c r="CC299" s="51"/>
      <c r="CD299" s="51"/>
      <c r="CE299" s="51"/>
      <c r="CF299" s="51"/>
      <c r="CG299" s="51"/>
      <c r="CH299" s="51"/>
      <c r="CI299" s="51"/>
      <c r="CJ299" s="51"/>
      <c r="CK299" s="51"/>
      <c r="CL299" s="51"/>
      <c r="CM299" s="51"/>
      <c r="CN299" s="51"/>
      <c r="CO299" s="51"/>
      <c r="CP299" s="51"/>
    </row>
    <row r="300" spans="20:94" s="49" customFormat="1" ht="13" customHeight="1"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  <c r="CC300" s="51"/>
      <c r="CD300" s="51"/>
      <c r="CE300" s="51"/>
      <c r="CF300" s="51"/>
      <c r="CG300" s="51"/>
      <c r="CH300" s="51"/>
      <c r="CI300" s="51"/>
      <c r="CJ300" s="51"/>
      <c r="CK300" s="51"/>
      <c r="CL300" s="51"/>
      <c r="CM300" s="51"/>
      <c r="CN300" s="51"/>
      <c r="CO300" s="51"/>
      <c r="CP300" s="51"/>
    </row>
    <row r="301" spans="20:94" s="49" customFormat="1" ht="13" customHeight="1"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  <c r="CC301" s="51"/>
      <c r="CD301" s="51"/>
      <c r="CE301" s="51"/>
      <c r="CF301" s="51"/>
      <c r="CG301" s="51"/>
      <c r="CH301" s="51"/>
      <c r="CI301" s="51"/>
      <c r="CJ301" s="51"/>
      <c r="CK301" s="51"/>
      <c r="CL301" s="51"/>
      <c r="CM301" s="51"/>
      <c r="CN301" s="51"/>
      <c r="CO301" s="51"/>
      <c r="CP301" s="51"/>
    </row>
    <row r="302" spans="20:94" s="49" customFormat="1" ht="13" customHeight="1"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  <c r="CC302" s="51"/>
      <c r="CD302" s="51"/>
      <c r="CE302" s="51"/>
      <c r="CF302" s="51"/>
      <c r="CG302" s="51"/>
      <c r="CH302" s="51"/>
      <c r="CI302" s="51"/>
      <c r="CJ302" s="51"/>
      <c r="CK302" s="51"/>
      <c r="CL302" s="51"/>
      <c r="CM302" s="51"/>
      <c r="CN302" s="51"/>
      <c r="CO302" s="51"/>
      <c r="CP302" s="51"/>
    </row>
    <row r="303" spans="20:94" s="49" customFormat="1" ht="13" customHeight="1"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  <c r="CC303" s="51"/>
      <c r="CD303" s="51"/>
      <c r="CE303" s="51"/>
      <c r="CF303" s="51"/>
      <c r="CG303" s="51"/>
      <c r="CH303" s="51"/>
      <c r="CI303" s="51"/>
      <c r="CJ303" s="51"/>
      <c r="CK303" s="51"/>
      <c r="CL303" s="51"/>
      <c r="CM303" s="51"/>
      <c r="CN303" s="51"/>
      <c r="CO303" s="51"/>
      <c r="CP303" s="51"/>
    </row>
    <row r="304" spans="20:94" s="49" customFormat="1" ht="13" customHeight="1"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  <c r="CC304" s="51"/>
      <c r="CD304" s="51"/>
      <c r="CE304" s="51"/>
      <c r="CF304" s="51"/>
      <c r="CG304" s="51"/>
      <c r="CH304" s="51"/>
      <c r="CI304" s="51"/>
      <c r="CJ304" s="51"/>
      <c r="CK304" s="51"/>
      <c r="CL304" s="51"/>
      <c r="CM304" s="51"/>
      <c r="CN304" s="51"/>
      <c r="CO304" s="51"/>
      <c r="CP304" s="51"/>
    </row>
    <row r="305" spans="20:94" s="49" customFormat="1" ht="13" customHeight="1"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  <c r="CC305" s="51"/>
      <c r="CD305" s="51"/>
      <c r="CE305" s="51"/>
      <c r="CF305" s="51"/>
      <c r="CG305" s="51"/>
      <c r="CH305" s="51"/>
      <c r="CI305" s="51"/>
      <c r="CJ305" s="51"/>
      <c r="CK305" s="51"/>
      <c r="CL305" s="51"/>
      <c r="CM305" s="51"/>
      <c r="CN305" s="51"/>
      <c r="CO305" s="51"/>
      <c r="CP305" s="51"/>
    </row>
    <row r="306" spans="20:94" s="49" customFormat="1" ht="13" customHeight="1"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  <c r="AG306" s="5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  <c r="CC306" s="51"/>
      <c r="CD306" s="51"/>
      <c r="CE306" s="51"/>
      <c r="CF306" s="51"/>
      <c r="CG306" s="51"/>
      <c r="CH306" s="51"/>
      <c r="CI306" s="51"/>
      <c r="CJ306" s="51"/>
      <c r="CK306" s="51"/>
      <c r="CL306" s="51"/>
      <c r="CM306" s="51"/>
      <c r="CN306" s="51"/>
      <c r="CO306" s="51"/>
      <c r="CP306" s="51"/>
    </row>
    <row r="307" spans="20:94" s="49" customFormat="1" ht="13" customHeight="1">
      <c r="T307" s="51"/>
      <c r="U307" s="51"/>
      <c r="V307" s="51"/>
      <c r="W307" s="51"/>
      <c r="X307" s="51"/>
      <c r="Y307" s="51"/>
      <c r="Z307" s="51"/>
      <c r="AA307" s="51"/>
      <c r="AB307" s="51"/>
      <c r="AC307" s="51"/>
      <c r="AD307" s="51"/>
      <c r="AE307" s="51"/>
      <c r="AF307" s="51"/>
      <c r="AG307" s="5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  <c r="CC307" s="51"/>
      <c r="CD307" s="51"/>
      <c r="CE307" s="51"/>
      <c r="CF307" s="51"/>
      <c r="CG307" s="51"/>
      <c r="CH307" s="51"/>
      <c r="CI307" s="51"/>
      <c r="CJ307" s="51"/>
      <c r="CK307" s="51"/>
      <c r="CL307" s="51"/>
      <c r="CM307" s="51"/>
      <c r="CN307" s="51"/>
      <c r="CO307" s="51"/>
      <c r="CP307" s="51"/>
    </row>
    <row r="308" spans="20:94" s="49" customFormat="1" ht="13" customHeight="1"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  <c r="CC308" s="51"/>
      <c r="CD308" s="51"/>
      <c r="CE308" s="51"/>
      <c r="CF308" s="51"/>
      <c r="CG308" s="51"/>
      <c r="CH308" s="51"/>
      <c r="CI308" s="51"/>
      <c r="CJ308" s="51"/>
      <c r="CK308" s="51"/>
      <c r="CL308" s="51"/>
      <c r="CM308" s="51"/>
      <c r="CN308" s="51"/>
      <c r="CO308" s="51"/>
      <c r="CP308" s="51"/>
    </row>
    <row r="309" spans="20:94" s="49" customFormat="1" ht="13" customHeight="1">
      <c r="T309" s="51"/>
      <c r="U309" s="51"/>
      <c r="V309" s="51"/>
      <c r="W309" s="51"/>
      <c r="X309" s="51"/>
      <c r="Y309" s="51"/>
      <c r="Z309" s="51"/>
      <c r="AA309" s="51"/>
      <c r="AB309" s="51"/>
      <c r="AC309" s="51"/>
      <c r="AD309" s="51"/>
      <c r="AE309" s="51"/>
      <c r="AF309" s="51"/>
      <c r="AG309" s="5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  <c r="CC309" s="51"/>
      <c r="CD309" s="51"/>
      <c r="CE309" s="51"/>
      <c r="CF309" s="51"/>
      <c r="CG309" s="51"/>
      <c r="CH309" s="51"/>
      <c r="CI309" s="51"/>
      <c r="CJ309" s="51"/>
      <c r="CK309" s="51"/>
      <c r="CL309" s="51"/>
      <c r="CM309" s="51"/>
      <c r="CN309" s="51"/>
      <c r="CO309" s="51"/>
      <c r="CP309" s="51"/>
    </row>
    <row r="310" spans="20:94" s="49" customFormat="1" ht="13" customHeight="1">
      <c r="T310" s="51"/>
      <c r="U310" s="51"/>
      <c r="V310" s="51"/>
      <c r="W310" s="51"/>
      <c r="X310" s="51"/>
      <c r="Y310" s="51"/>
      <c r="Z310" s="51"/>
      <c r="AA310" s="51"/>
      <c r="AB310" s="51"/>
      <c r="AC310" s="51"/>
      <c r="AD310" s="51"/>
      <c r="AE310" s="51"/>
      <c r="AF310" s="51"/>
      <c r="AG310" s="5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  <c r="CC310" s="51"/>
      <c r="CD310" s="51"/>
      <c r="CE310" s="51"/>
      <c r="CF310" s="51"/>
      <c r="CG310" s="51"/>
      <c r="CH310" s="51"/>
      <c r="CI310" s="51"/>
      <c r="CJ310" s="51"/>
      <c r="CK310" s="51"/>
      <c r="CL310" s="51"/>
      <c r="CM310" s="51"/>
      <c r="CN310" s="51"/>
      <c r="CO310" s="51"/>
      <c r="CP310" s="51"/>
    </row>
    <row r="311" spans="20:94" s="49" customFormat="1" ht="13" customHeight="1">
      <c r="T311" s="51"/>
      <c r="U311" s="51"/>
      <c r="V311" s="51"/>
      <c r="W311" s="51"/>
      <c r="X311" s="51"/>
      <c r="Y311" s="51"/>
      <c r="Z311" s="51"/>
      <c r="AA311" s="51"/>
      <c r="AB311" s="51"/>
      <c r="AC311" s="51"/>
      <c r="AD311" s="51"/>
      <c r="AE311" s="51"/>
      <c r="AF311" s="51"/>
      <c r="AG311" s="5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  <c r="CC311" s="51"/>
      <c r="CD311" s="51"/>
      <c r="CE311" s="51"/>
      <c r="CF311" s="51"/>
      <c r="CG311" s="51"/>
      <c r="CH311" s="51"/>
      <c r="CI311" s="51"/>
      <c r="CJ311" s="51"/>
      <c r="CK311" s="51"/>
      <c r="CL311" s="51"/>
      <c r="CM311" s="51"/>
      <c r="CN311" s="51"/>
      <c r="CO311" s="51"/>
      <c r="CP311" s="51"/>
    </row>
    <row r="312" spans="20:94" s="49" customFormat="1" ht="13" customHeight="1">
      <c r="T312" s="51"/>
      <c r="U312" s="51"/>
      <c r="V312" s="51"/>
      <c r="W312" s="51"/>
      <c r="X312" s="51"/>
      <c r="Y312" s="51"/>
      <c r="Z312" s="51"/>
      <c r="AA312" s="51"/>
      <c r="AB312" s="51"/>
      <c r="AC312" s="51"/>
      <c r="AD312" s="51"/>
      <c r="AE312" s="51"/>
      <c r="AF312" s="51"/>
      <c r="AG312" s="5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  <c r="CC312" s="51"/>
      <c r="CD312" s="51"/>
      <c r="CE312" s="51"/>
      <c r="CF312" s="51"/>
      <c r="CG312" s="51"/>
      <c r="CH312" s="51"/>
      <c r="CI312" s="51"/>
      <c r="CJ312" s="51"/>
      <c r="CK312" s="51"/>
      <c r="CL312" s="51"/>
      <c r="CM312" s="51"/>
      <c r="CN312" s="51"/>
      <c r="CO312" s="51"/>
      <c r="CP312" s="51"/>
    </row>
    <row r="313" spans="20:94" s="49" customFormat="1" ht="13" customHeight="1">
      <c r="T313" s="51"/>
      <c r="U313" s="51"/>
      <c r="V313" s="51"/>
      <c r="W313" s="51"/>
      <c r="X313" s="51"/>
      <c r="Y313" s="51"/>
      <c r="Z313" s="51"/>
      <c r="AA313" s="51"/>
      <c r="AB313" s="51"/>
      <c r="AC313" s="51"/>
      <c r="AD313" s="51"/>
      <c r="AE313" s="51"/>
      <c r="AF313" s="51"/>
      <c r="AG313" s="5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  <c r="CC313" s="51"/>
      <c r="CD313" s="51"/>
      <c r="CE313" s="51"/>
      <c r="CF313" s="51"/>
      <c r="CG313" s="51"/>
      <c r="CH313" s="51"/>
      <c r="CI313" s="51"/>
      <c r="CJ313" s="51"/>
      <c r="CK313" s="51"/>
      <c r="CL313" s="51"/>
      <c r="CM313" s="51"/>
      <c r="CN313" s="51"/>
      <c r="CO313" s="51"/>
      <c r="CP313" s="51"/>
    </row>
    <row r="314" spans="20:94" s="49" customFormat="1" ht="13" customHeight="1">
      <c r="T314" s="51"/>
      <c r="U314" s="51"/>
      <c r="V314" s="51"/>
      <c r="W314" s="51"/>
      <c r="X314" s="51"/>
      <c r="Y314" s="51"/>
      <c r="Z314" s="51"/>
      <c r="AA314" s="51"/>
      <c r="AB314" s="51"/>
      <c r="AC314" s="51"/>
      <c r="AD314" s="51"/>
      <c r="AE314" s="51"/>
      <c r="AF314" s="51"/>
      <c r="AG314" s="5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  <c r="CC314" s="51"/>
      <c r="CD314" s="51"/>
      <c r="CE314" s="51"/>
      <c r="CF314" s="51"/>
      <c r="CG314" s="51"/>
      <c r="CH314" s="51"/>
      <c r="CI314" s="51"/>
      <c r="CJ314" s="51"/>
      <c r="CK314" s="51"/>
      <c r="CL314" s="51"/>
      <c r="CM314" s="51"/>
      <c r="CN314" s="51"/>
      <c r="CO314" s="51"/>
      <c r="CP314" s="51"/>
    </row>
    <row r="315" spans="20:94" s="49" customFormat="1" ht="13" customHeight="1">
      <c r="T315" s="51"/>
      <c r="U315" s="51"/>
      <c r="V315" s="51"/>
      <c r="W315" s="51"/>
      <c r="X315" s="51"/>
      <c r="Y315" s="51"/>
      <c r="Z315" s="51"/>
      <c r="AA315" s="51"/>
      <c r="AB315" s="51"/>
      <c r="AC315" s="51"/>
      <c r="AD315" s="51"/>
      <c r="AE315" s="51"/>
      <c r="AF315" s="51"/>
      <c r="AG315" s="5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</row>
    <row r="316" spans="20:94" s="49" customFormat="1" ht="13" customHeight="1"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  <c r="CC316" s="51"/>
      <c r="CD316" s="51"/>
      <c r="CE316" s="51"/>
      <c r="CF316" s="51"/>
      <c r="CG316" s="51"/>
      <c r="CH316" s="51"/>
      <c r="CI316" s="51"/>
      <c r="CJ316" s="51"/>
      <c r="CK316" s="51"/>
      <c r="CL316" s="51"/>
      <c r="CM316" s="51"/>
      <c r="CN316" s="51"/>
      <c r="CO316" s="51"/>
      <c r="CP316" s="51"/>
    </row>
    <row r="317" spans="20:94" s="49" customFormat="1" ht="13" customHeight="1">
      <c r="T317" s="51"/>
      <c r="U317" s="51"/>
      <c r="V317" s="51"/>
      <c r="W317" s="51"/>
      <c r="X317" s="51"/>
      <c r="Y317" s="51"/>
      <c r="Z317" s="51"/>
      <c r="AA317" s="51"/>
      <c r="AB317" s="51"/>
      <c r="AC317" s="51"/>
      <c r="AD317" s="51"/>
      <c r="AE317" s="51"/>
      <c r="AF317" s="51"/>
      <c r="AG317" s="5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  <c r="CC317" s="51"/>
      <c r="CD317" s="51"/>
      <c r="CE317" s="51"/>
      <c r="CF317" s="51"/>
      <c r="CG317" s="51"/>
      <c r="CH317" s="51"/>
      <c r="CI317" s="51"/>
      <c r="CJ317" s="51"/>
      <c r="CK317" s="51"/>
      <c r="CL317" s="51"/>
      <c r="CM317" s="51"/>
      <c r="CN317" s="51"/>
      <c r="CO317" s="51"/>
      <c r="CP317" s="51"/>
    </row>
    <row r="318" spans="20:94" s="49" customFormat="1" ht="13" customHeight="1">
      <c r="T318" s="51"/>
      <c r="U318" s="51"/>
      <c r="V318" s="51"/>
      <c r="W318" s="51"/>
      <c r="X318" s="51"/>
      <c r="Y318" s="51"/>
      <c r="Z318" s="51"/>
      <c r="AA318" s="51"/>
      <c r="AB318" s="51"/>
      <c r="AC318" s="51"/>
      <c r="AD318" s="51"/>
      <c r="AE318" s="51"/>
      <c r="AF318" s="51"/>
      <c r="AG318" s="5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  <c r="CC318" s="51"/>
      <c r="CD318" s="51"/>
      <c r="CE318" s="51"/>
      <c r="CF318" s="51"/>
      <c r="CG318" s="51"/>
      <c r="CH318" s="51"/>
      <c r="CI318" s="51"/>
      <c r="CJ318" s="51"/>
      <c r="CK318" s="51"/>
      <c r="CL318" s="51"/>
      <c r="CM318" s="51"/>
      <c r="CN318" s="51"/>
      <c r="CO318" s="51"/>
      <c r="CP318" s="51"/>
    </row>
    <row r="319" spans="20:94" s="49" customFormat="1" ht="13" customHeight="1">
      <c r="T319" s="51"/>
      <c r="U319" s="51"/>
      <c r="V319" s="51"/>
      <c r="W319" s="51"/>
      <c r="X319" s="51"/>
      <c r="Y319" s="51"/>
      <c r="Z319" s="51"/>
      <c r="AA319" s="51"/>
      <c r="AB319" s="51"/>
      <c r="AC319" s="51"/>
      <c r="AD319" s="51"/>
      <c r="AE319" s="51"/>
      <c r="AF319" s="51"/>
      <c r="AG319" s="5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</row>
    <row r="320" spans="20:94" s="49" customFormat="1" ht="13" customHeight="1">
      <c r="T320" s="51"/>
      <c r="U320" s="51"/>
      <c r="V320" s="51"/>
      <c r="W320" s="51"/>
      <c r="X320" s="51"/>
      <c r="Y320" s="51"/>
      <c r="Z320" s="51"/>
      <c r="AA320" s="51"/>
      <c r="AB320" s="51"/>
      <c r="AC320" s="51"/>
      <c r="AD320" s="51"/>
      <c r="AE320" s="51"/>
      <c r="AF320" s="51"/>
      <c r="AG320" s="5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  <c r="CC320" s="51"/>
      <c r="CD320" s="51"/>
      <c r="CE320" s="51"/>
      <c r="CF320" s="51"/>
      <c r="CG320" s="51"/>
      <c r="CH320" s="51"/>
      <c r="CI320" s="51"/>
      <c r="CJ320" s="51"/>
      <c r="CK320" s="51"/>
      <c r="CL320" s="51"/>
      <c r="CM320" s="51"/>
      <c r="CN320" s="51"/>
      <c r="CO320" s="51"/>
      <c r="CP320" s="51"/>
    </row>
    <row r="321" spans="20:94" s="49" customFormat="1" ht="13" customHeight="1"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  <c r="CC321" s="51"/>
      <c r="CD321" s="51"/>
      <c r="CE321" s="51"/>
      <c r="CF321" s="51"/>
      <c r="CG321" s="51"/>
      <c r="CH321" s="51"/>
      <c r="CI321" s="51"/>
      <c r="CJ321" s="51"/>
      <c r="CK321" s="51"/>
      <c r="CL321" s="51"/>
      <c r="CM321" s="51"/>
      <c r="CN321" s="51"/>
      <c r="CO321" s="51"/>
      <c r="CP321" s="51"/>
    </row>
    <row r="322" spans="20:94" s="49" customFormat="1" ht="13" customHeight="1"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  <c r="CC322" s="51"/>
      <c r="CD322" s="51"/>
      <c r="CE322" s="51"/>
      <c r="CF322" s="51"/>
      <c r="CG322" s="51"/>
      <c r="CH322" s="51"/>
      <c r="CI322" s="51"/>
      <c r="CJ322" s="51"/>
      <c r="CK322" s="51"/>
      <c r="CL322" s="51"/>
      <c r="CM322" s="51"/>
      <c r="CN322" s="51"/>
      <c r="CO322" s="51"/>
      <c r="CP322" s="51"/>
    </row>
    <row r="323" spans="20:94" s="49" customFormat="1" ht="13" customHeight="1">
      <c r="T323" s="51"/>
      <c r="U323" s="51"/>
      <c r="V323" s="51"/>
      <c r="W323" s="51"/>
      <c r="X323" s="51"/>
      <c r="Y323" s="51"/>
      <c r="Z323" s="51"/>
      <c r="AA323" s="51"/>
      <c r="AB323" s="51"/>
      <c r="AC323" s="51"/>
      <c r="AD323" s="51"/>
      <c r="AE323" s="51"/>
      <c r="AF323" s="51"/>
      <c r="AG323" s="5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  <c r="CC323" s="51"/>
      <c r="CD323" s="51"/>
      <c r="CE323" s="51"/>
      <c r="CF323" s="51"/>
      <c r="CG323" s="51"/>
      <c r="CH323" s="51"/>
      <c r="CI323" s="51"/>
      <c r="CJ323" s="51"/>
      <c r="CK323" s="51"/>
      <c r="CL323" s="51"/>
      <c r="CM323" s="51"/>
      <c r="CN323" s="51"/>
      <c r="CO323" s="51"/>
      <c r="CP323" s="51"/>
    </row>
    <row r="324" spans="20:94" s="49" customFormat="1" ht="13" customHeight="1">
      <c r="T324" s="51"/>
      <c r="U324" s="51"/>
      <c r="V324" s="51"/>
      <c r="W324" s="51"/>
      <c r="X324" s="51"/>
      <c r="Y324" s="51"/>
      <c r="Z324" s="51"/>
      <c r="AA324" s="51"/>
      <c r="AB324" s="51"/>
      <c r="AC324" s="51"/>
      <c r="AD324" s="51"/>
      <c r="AE324" s="51"/>
      <c r="AF324" s="51"/>
      <c r="AG324" s="5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  <c r="CC324" s="51"/>
      <c r="CD324" s="51"/>
      <c r="CE324" s="51"/>
      <c r="CF324" s="51"/>
      <c r="CG324" s="51"/>
      <c r="CH324" s="51"/>
      <c r="CI324" s="51"/>
      <c r="CJ324" s="51"/>
      <c r="CK324" s="51"/>
      <c r="CL324" s="51"/>
      <c r="CM324" s="51"/>
      <c r="CN324" s="51"/>
      <c r="CO324" s="51"/>
      <c r="CP324" s="51"/>
    </row>
    <row r="325" spans="20:94" s="49" customFormat="1" ht="13" customHeight="1">
      <c r="T325" s="51"/>
      <c r="U325" s="51"/>
      <c r="V325" s="51"/>
      <c r="W325" s="51"/>
      <c r="X325" s="51"/>
      <c r="Y325" s="51"/>
      <c r="Z325" s="51"/>
      <c r="AA325" s="51"/>
      <c r="AB325" s="51"/>
      <c r="AC325" s="51"/>
      <c r="AD325" s="51"/>
      <c r="AE325" s="51"/>
      <c r="AF325" s="51"/>
      <c r="AG325" s="5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  <c r="CC325" s="51"/>
      <c r="CD325" s="51"/>
      <c r="CE325" s="51"/>
      <c r="CF325" s="51"/>
      <c r="CG325" s="51"/>
      <c r="CH325" s="51"/>
      <c r="CI325" s="51"/>
      <c r="CJ325" s="51"/>
      <c r="CK325" s="51"/>
      <c r="CL325" s="51"/>
      <c r="CM325" s="51"/>
      <c r="CN325" s="51"/>
      <c r="CO325" s="51"/>
      <c r="CP325" s="51"/>
    </row>
    <row r="326" spans="20:94" s="49" customFormat="1" ht="13" customHeight="1">
      <c r="T326" s="51"/>
      <c r="U326" s="51"/>
      <c r="V326" s="51"/>
      <c r="W326" s="51"/>
      <c r="X326" s="51"/>
      <c r="Y326" s="51"/>
      <c r="Z326" s="51"/>
      <c r="AA326" s="51"/>
      <c r="AB326" s="51"/>
      <c r="AC326" s="51"/>
      <c r="AD326" s="51"/>
      <c r="AE326" s="51"/>
      <c r="AF326" s="51"/>
      <c r="AG326" s="5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  <c r="CC326" s="51"/>
      <c r="CD326" s="51"/>
      <c r="CE326" s="51"/>
      <c r="CF326" s="51"/>
      <c r="CG326" s="51"/>
      <c r="CH326" s="51"/>
      <c r="CI326" s="51"/>
      <c r="CJ326" s="51"/>
      <c r="CK326" s="51"/>
      <c r="CL326" s="51"/>
      <c r="CM326" s="51"/>
      <c r="CN326" s="51"/>
      <c r="CO326" s="51"/>
      <c r="CP326" s="51"/>
    </row>
    <row r="327" spans="20:94" s="49" customFormat="1" ht="13" customHeight="1">
      <c r="T327" s="51"/>
      <c r="U327" s="51"/>
      <c r="V327" s="51"/>
      <c r="W327" s="51"/>
      <c r="X327" s="51"/>
      <c r="Y327" s="51"/>
      <c r="Z327" s="51"/>
      <c r="AA327" s="51"/>
      <c r="AB327" s="51"/>
      <c r="AC327" s="51"/>
      <c r="AD327" s="51"/>
      <c r="AE327" s="51"/>
      <c r="AF327" s="51"/>
      <c r="AG327" s="5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  <c r="CC327" s="51"/>
      <c r="CD327" s="51"/>
      <c r="CE327" s="51"/>
      <c r="CF327" s="51"/>
      <c r="CG327" s="51"/>
      <c r="CH327" s="51"/>
      <c r="CI327" s="51"/>
      <c r="CJ327" s="51"/>
      <c r="CK327" s="51"/>
      <c r="CL327" s="51"/>
      <c r="CM327" s="51"/>
      <c r="CN327" s="51"/>
      <c r="CO327" s="51"/>
      <c r="CP327" s="51"/>
    </row>
    <row r="328" spans="20:94" s="49" customFormat="1" ht="13" customHeight="1">
      <c r="T328" s="51"/>
      <c r="U328" s="51"/>
      <c r="V328" s="51"/>
      <c r="W328" s="51"/>
      <c r="X328" s="51"/>
      <c r="Y328" s="51"/>
      <c r="Z328" s="51"/>
      <c r="AA328" s="51"/>
      <c r="AB328" s="51"/>
      <c r="AC328" s="51"/>
      <c r="AD328" s="51"/>
      <c r="AE328" s="51"/>
      <c r="AF328" s="51"/>
      <c r="AG328" s="5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  <c r="CC328" s="51"/>
      <c r="CD328" s="51"/>
      <c r="CE328" s="51"/>
      <c r="CF328" s="51"/>
      <c r="CG328" s="51"/>
      <c r="CH328" s="51"/>
      <c r="CI328" s="51"/>
      <c r="CJ328" s="51"/>
      <c r="CK328" s="51"/>
      <c r="CL328" s="51"/>
      <c r="CM328" s="51"/>
      <c r="CN328" s="51"/>
      <c r="CO328" s="51"/>
      <c r="CP328" s="51"/>
    </row>
    <row r="329" spans="20:94" s="49" customFormat="1" ht="13" customHeight="1">
      <c r="T329" s="51"/>
      <c r="U329" s="51"/>
      <c r="V329" s="51"/>
      <c r="W329" s="51"/>
      <c r="X329" s="51"/>
      <c r="Y329" s="51"/>
      <c r="Z329" s="51"/>
      <c r="AA329" s="51"/>
      <c r="AB329" s="51"/>
      <c r="AC329" s="51"/>
      <c r="AD329" s="51"/>
      <c r="AE329" s="51"/>
      <c r="AF329" s="51"/>
      <c r="AG329" s="5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  <c r="CC329" s="51"/>
      <c r="CD329" s="51"/>
      <c r="CE329" s="51"/>
      <c r="CF329" s="51"/>
      <c r="CG329" s="51"/>
      <c r="CH329" s="51"/>
      <c r="CI329" s="51"/>
      <c r="CJ329" s="51"/>
      <c r="CK329" s="51"/>
      <c r="CL329" s="51"/>
      <c r="CM329" s="51"/>
      <c r="CN329" s="51"/>
      <c r="CO329" s="51"/>
      <c r="CP329" s="51"/>
    </row>
    <row r="330" spans="20:94" s="49" customFormat="1" ht="13" customHeight="1">
      <c r="T330" s="51"/>
      <c r="U330" s="51"/>
      <c r="V330" s="51"/>
      <c r="W330" s="51"/>
      <c r="X330" s="51"/>
      <c r="Y330" s="51"/>
      <c r="Z330" s="51"/>
      <c r="AA330" s="51"/>
      <c r="AB330" s="51"/>
      <c r="AC330" s="51"/>
      <c r="AD330" s="51"/>
      <c r="AE330" s="51"/>
      <c r="AF330" s="51"/>
      <c r="AG330" s="5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  <c r="CC330" s="51"/>
      <c r="CD330" s="51"/>
      <c r="CE330" s="51"/>
      <c r="CF330" s="51"/>
      <c r="CG330" s="51"/>
      <c r="CH330" s="51"/>
      <c r="CI330" s="51"/>
      <c r="CJ330" s="51"/>
      <c r="CK330" s="51"/>
      <c r="CL330" s="51"/>
      <c r="CM330" s="51"/>
      <c r="CN330" s="51"/>
      <c r="CO330" s="51"/>
      <c r="CP330" s="51"/>
    </row>
    <row r="331" spans="20:94" s="49" customFormat="1" ht="13" customHeight="1">
      <c r="T331" s="51"/>
      <c r="U331" s="51"/>
      <c r="V331" s="51"/>
      <c r="W331" s="51"/>
      <c r="X331" s="51"/>
      <c r="Y331" s="51"/>
      <c r="Z331" s="51"/>
      <c r="AA331" s="51"/>
      <c r="AB331" s="51"/>
      <c r="AC331" s="51"/>
      <c r="AD331" s="51"/>
      <c r="AE331" s="51"/>
      <c r="AF331" s="51"/>
      <c r="AG331" s="5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  <c r="CC331" s="51"/>
      <c r="CD331" s="51"/>
      <c r="CE331" s="51"/>
      <c r="CF331" s="51"/>
      <c r="CG331" s="51"/>
      <c r="CH331" s="51"/>
      <c r="CI331" s="51"/>
      <c r="CJ331" s="51"/>
      <c r="CK331" s="51"/>
      <c r="CL331" s="51"/>
      <c r="CM331" s="51"/>
      <c r="CN331" s="51"/>
      <c r="CO331" s="51"/>
      <c r="CP331" s="51"/>
    </row>
    <row r="332" spans="20:94" s="49" customFormat="1" ht="13" customHeight="1">
      <c r="T332" s="51"/>
      <c r="U332" s="51"/>
      <c r="V332" s="51"/>
      <c r="W332" s="51"/>
      <c r="X332" s="51"/>
      <c r="Y332" s="51"/>
      <c r="Z332" s="51"/>
      <c r="AA332" s="51"/>
      <c r="AB332" s="51"/>
      <c r="AC332" s="51"/>
      <c r="AD332" s="51"/>
      <c r="AE332" s="51"/>
      <c r="AF332" s="51"/>
      <c r="AG332" s="5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  <c r="CC332" s="51"/>
      <c r="CD332" s="51"/>
      <c r="CE332" s="51"/>
      <c r="CF332" s="51"/>
      <c r="CG332" s="51"/>
      <c r="CH332" s="51"/>
      <c r="CI332" s="51"/>
      <c r="CJ332" s="51"/>
      <c r="CK332" s="51"/>
      <c r="CL332" s="51"/>
      <c r="CM332" s="51"/>
      <c r="CN332" s="51"/>
      <c r="CO332" s="51"/>
      <c r="CP332" s="51"/>
    </row>
    <row r="333" spans="20:94" s="49" customFormat="1" ht="13" customHeight="1">
      <c r="T333" s="51"/>
      <c r="U333" s="51"/>
      <c r="V333" s="51"/>
      <c r="W333" s="51"/>
      <c r="X333" s="51"/>
      <c r="Y333" s="51"/>
      <c r="Z333" s="51"/>
      <c r="AA333" s="51"/>
      <c r="AB333" s="51"/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  <c r="CC333" s="51"/>
      <c r="CD333" s="51"/>
      <c r="CE333" s="51"/>
      <c r="CF333" s="51"/>
      <c r="CG333" s="51"/>
      <c r="CH333" s="51"/>
      <c r="CI333" s="51"/>
      <c r="CJ333" s="51"/>
      <c r="CK333" s="51"/>
      <c r="CL333" s="51"/>
      <c r="CM333" s="51"/>
      <c r="CN333" s="51"/>
      <c r="CO333" s="51"/>
      <c r="CP333" s="51"/>
    </row>
    <row r="334" spans="20:94" s="49" customFormat="1" ht="13" customHeight="1">
      <c r="T334" s="51"/>
      <c r="U334" s="51"/>
      <c r="V334" s="51"/>
      <c r="W334" s="51"/>
      <c r="X334" s="51"/>
      <c r="Y334" s="51"/>
      <c r="Z334" s="51"/>
      <c r="AA334" s="51"/>
      <c r="AB334" s="51"/>
      <c r="AC334" s="51"/>
      <c r="AD334" s="51"/>
      <c r="AE334" s="51"/>
      <c r="AF334" s="51"/>
      <c r="AG334" s="5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  <c r="CC334" s="51"/>
      <c r="CD334" s="51"/>
      <c r="CE334" s="51"/>
      <c r="CF334" s="51"/>
      <c r="CG334" s="51"/>
      <c r="CH334" s="51"/>
      <c r="CI334" s="51"/>
      <c r="CJ334" s="51"/>
      <c r="CK334" s="51"/>
      <c r="CL334" s="51"/>
      <c r="CM334" s="51"/>
      <c r="CN334" s="51"/>
      <c r="CO334" s="51"/>
      <c r="CP334" s="51"/>
    </row>
    <row r="335" spans="20:94" s="49" customFormat="1" ht="13" customHeight="1">
      <c r="T335" s="51"/>
      <c r="U335" s="51"/>
      <c r="V335" s="51"/>
      <c r="W335" s="51"/>
      <c r="X335" s="51"/>
      <c r="Y335" s="51"/>
      <c r="Z335" s="51"/>
      <c r="AA335" s="51"/>
      <c r="AB335" s="51"/>
      <c r="AC335" s="51"/>
      <c r="AD335" s="51"/>
      <c r="AE335" s="51"/>
      <c r="AF335" s="51"/>
      <c r="AG335" s="5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  <c r="CC335" s="51"/>
      <c r="CD335" s="51"/>
      <c r="CE335" s="51"/>
      <c r="CF335" s="51"/>
      <c r="CG335" s="51"/>
      <c r="CH335" s="51"/>
      <c r="CI335" s="51"/>
      <c r="CJ335" s="51"/>
      <c r="CK335" s="51"/>
      <c r="CL335" s="51"/>
      <c r="CM335" s="51"/>
      <c r="CN335" s="51"/>
      <c r="CO335" s="51"/>
      <c r="CP335" s="51"/>
    </row>
    <row r="336" spans="20:94" s="49" customFormat="1" ht="13" customHeight="1">
      <c r="T336" s="51"/>
      <c r="U336" s="51"/>
      <c r="V336" s="51"/>
      <c r="W336" s="51"/>
      <c r="X336" s="51"/>
      <c r="Y336" s="51"/>
      <c r="Z336" s="51"/>
      <c r="AA336" s="51"/>
      <c r="AB336" s="51"/>
      <c r="AC336" s="51"/>
      <c r="AD336" s="51"/>
      <c r="AE336" s="51"/>
      <c r="AF336" s="51"/>
      <c r="AG336" s="5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  <c r="CC336" s="51"/>
      <c r="CD336" s="51"/>
      <c r="CE336" s="51"/>
      <c r="CF336" s="51"/>
      <c r="CG336" s="51"/>
      <c r="CH336" s="51"/>
      <c r="CI336" s="51"/>
      <c r="CJ336" s="51"/>
      <c r="CK336" s="51"/>
      <c r="CL336" s="51"/>
      <c r="CM336" s="51"/>
      <c r="CN336" s="51"/>
      <c r="CO336" s="51"/>
      <c r="CP336" s="51"/>
    </row>
    <row r="337" spans="20:94" s="49" customFormat="1" ht="13" customHeight="1">
      <c r="T337" s="51"/>
      <c r="U337" s="51"/>
      <c r="V337" s="51"/>
      <c r="W337" s="51"/>
      <c r="X337" s="51"/>
      <c r="Y337" s="51"/>
      <c r="Z337" s="51"/>
      <c r="AA337" s="51"/>
      <c r="AB337" s="51"/>
      <c r="AC337" s="51"/>
      <c r="AD337" s="51"/>
      <c r="AE337" s="51"/>
      <c r="AF337" s="51"/>
      <c r="AG337" s="5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  <c r="CC337" s="51"/>
      <c r="CD337" s="51"/>
      <c r="CE337" s="51"/>
      <c r="CF337" s="51"/>
      <c r="CG337" s="51"/>
      <c r="CH337" s="51"/>
      <c r="CI337" s="51"/>
      <c r="CJ337" s="51"/>
      <c r="CK337" s="51"/>
      <c r="CL337" s="51"/>
      <c r="CM337" s="51"/>
      <c r="CN337" s="51"/>
      <c r="CO337" s="51"/>
      <c r="CP337" s="51"/>
    </row>
    <row r="338" spans="20:94" s="49" customFormat="1" ht="13" customHeight="1"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  <c r="CC338" s="51"/>
      <c r="CD338" s="51"/>
      <c r="CE338" s="51"/>
      <c r="CF338" s="51"/>
      <c r="CG338" s="51"/>
      <c r="CH338" s="51"/>
      <c r="CI338" s="51"/>
      <c r="CJ338" s="51"/>
      <c r="CK338" s="51"/>
      <c r="CL338" s="51"/>
      <c r="CM338" s="51"/>
      <c r="CN338" s="51"/>
      <c r="CO338" s="51"/>
      <c r="CP338" s="51"/>
    </row>
    <row r="339" spans="20:94" s="49" customFormat="1" ht="13" customHeight="1">
      <c r="T339" s="51"/>
      <c r="U339" s="51"/>
      <c r="V339" s="51"/>
      <c r="W339" s="51"/>
      <c r="X339" s="51"/>
      <c r="Y339" s="51"/>
      <c r="Z339" s="51"/>
      <c r="AA339" s="51"/>
      <c r="AB339" s="51"/>
      <c r="AC339" s="51"/>
      <c r="AD339" s="51"/>
      <c r="AE339" s="51"/>
      <c r="AF339" s="51"/>
      <c r="AG339" s="5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  <c r="CC339" s="51"/>
      <c r="CD339" s="51"/>
      <c r="CE339" s="51"/>
      <c r="CF339" s="51"/>
      <c r="CG339" s="51"/>
      <c r="CH339" s="51"/>
      <c r="CI339" s="51"/>
      <c r="CJ339" s="51"/>
      <c r="CK339" s="51"/>
      <c r="CL339" s="51"/>
      <c r="CM339" s="51"/>
      <c r="CN339" s="51"/>
      <c r="CO339" s="51"/>
      <c r="CP339" s="51"/>
    </row>
    <row r="340" spans="20:94" s="49" customFormat="1" ht="13" customHeight="1"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  <c r="CC340" s="51"/>
      <c r="CD340" s="51"/>
      <c r="CE340" s="51"/>
      <c r="CF340" s="51"/>
      <c r="CG340" s="51"/>
      <c r="CH340" s="51"/>
      <c r="CI340" s="51"/>
      <c r="CJ340" s="51"/>
      <c r="CK340" s="51"/>
      <c r="CL340" s="51"/>
      <c r="CM340" s="51"/>
      <c r="CN340" s="51"/>
      <c r="CO340" s="51"/>
      <c r="CP340" s="51"/>
    </row>
    <row r="341" spans="20:94" s="49" customFormat="1" ht="13" customHeight="1">
      <c r="T341" s="51"/>
      <c r="U341" s="51"/>
      <c r="V341" s="51"/>
      <c r="W341" s="51"/>
      <c r="X341" s="51"/>
      <c r="Y341" s="51"/>
      <c r="Z341" s="51"/>
      <c r="AA341" s="51"/>
      <c r="AB341" s="51"/>
      <c r="AC341" s="51"/>
      <c r="AD341" s="51"/>
      <c r="AE341" s="51"/>
      <c r="AF341" s="51"/>
      <c r="AG341" s="5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  <c r="CC341" s="51"/>
      <c r="CD341" s="51"/>
      <c r="CE341" s="51"/>
      <c r="CF341" s="51"/>
      <c r="CG341" s="51"/>
      <c r="CH341" s="51"/>
      <c r="CI341" s="51"/>
      <c r="CJ341" s="51"/>
      <c r="CK341" s="51"/>
      <c r="CL341" s="51"/>
      <c r="CM341" s="51"/>
      <c r="CN341" s="51"/>
      <c r="CO341" s="51"/>
      <c r="CP341" s="51"/>
    </row>
    <row r="342" spans="20:94" s="49" customFormat="1" ht="13" customHeight="1"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  <c r="CC342" s="51"/>
      <c r="CD342" s="51"/>
      <c r="CE342" s="51"/>
      <c r="CF342" s="51"/>
      <c r="CG342" s="51"/>
      <c r="CH342" s="51"/>
      <c r="CI342" s="51"/>
      <c r="CJ342" s="51"/>
      <c r="CK342" s="51"/>
      <c r="CL342" s="51"/>
      <c r="CM342" s="51"/>
      <c r="CN342" s="51"/>
      <c r="CO342" s="51"/>
      <c r="CP342" s="51"/>
    </row>
    <row r="343" spans="20:94" s="49" customFormat="1" ht="13" customHeight="1">
      <c r="T343" s="51"/>
      <c r="U343" s="51"/>
      <c r="V343" s="51"/>
      <c r="W343" s="51"/>
      <c r="X343" s="51"/>
      <c r="Y343" s="51"/>
      <c r="Z343" s="51"/>
      <c r="AA343" s="51"/>
      <c r="AB343" s="51"/>
      <c r="AC343" s="51"/>
      <c r="AD343" s="51"/>
      <c r="AE343" s="51"/>
      <c r="AF343" s="51"/>
      <c r="AG343" s="5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  <c r="CC343" s="51"/>
      <c r="CD343" s="51"/>
      <c r="CE343" s="51"/>
      <c r="CF343" s="51"/>
      <c r="CG343" s="51"/>
      <c r="CH343" s="51"/>
      <c r="CI343" s="51"/>
      <c r="CJ343" s="51"/>
      <c r="CK343" s="51"/>
      <c r="CL343" s="51"/>
      <c r="CM343" s="51"/>
      <c r="CN343" s="51"/>
      <c r="CO343" s="51"/>
      <c r="CP343" s="51"/>
    </row>
    <row r="344" spans="20:94" s="49" customFormat="1" ht="13" customHeight="1"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  <c r="CC344" s="51"/>
      <c r="CD344" s="51"/>
      <c r="CE344" s="51"/>
      <c r="CF344" s="51"/>
      <c r="CG344" s="51"/>
      <c r="CH344" s="51"/>
      <c r="CI344" s="51"/>
      <c r="CJ344" s="51"/>
      <c r="CK344" s="51"/>
      <c r="CL344" s="51"/>
      <c r="CM344" s="51"/>
      <c r="CN344" s="51"/>
      <c r="CO344" s="51"/>
      <c r="CP344" s="51"/>
    </row>
    <row r="345" spans="20:94" s="49" customFormat="1" ht="13" customHeight="1">
      <c r="T345" s="51"/>
      <c r="U345" s="51"/>
      <c r="V345" s="51"/>
      <c r="W345" s="51"/>
      <c r="X345" s="51"/>
      <c r="Y345" s="51"/>
      <c r="Z345" s="51"/>
      <c r="AA345" s="51"/>
      <c r="AB345" s="51"/>
      <c r="AC345" s="51"/>
      <c r="AD345" s="51"/>
      <c r="AE345" s="51"/>
      <c r="AF345" s="51"/>
      <c r="AG345" s="5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  <c r="CC345" s="51"/>
      <c r="CD345" s="51"/>
      <c r="CE345" s="51"/>
      <c r="CF345" s="51"/>
      <c r="CG345" s="51"/>
      <c r="CH345" s="51"/>
      <c r="CI345" s="51"/>
      <c r="CJ345" s="51"/>
      <c r="CK345" s="51"/>
      <c r="CL345" s="51"/>
      <c r="CM345" s="51"/>
      <c r="CN345" s="51"/>
      <c r="CO345" s="51"/>
      <c r="CP345" s="51"/>
    </row>
    <row r="346" spans="20:94" s="49" customFormat="1" ht="13" customHeight="1">
      <c r="T346" s="51"/>
      <c r="U346" s="51"/>
      <c r="V346" s="51"/>
      <c r="W346" s="51"/>
      <c r="X346" s="51"/>
      <c r="Y346" s="51"/>
      <c r="Z346" s="51"/>
      <c r="AA346" s="51"/>
      <c r="AB346" s="51"/>
      <c r="AC346" s="51"/>
      <c r="AD346" s="51"/>
      <c r="AE346" s="51"/>
      <c r="AF346" s="51"/>
      <c r="AG346" s="5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  <c r="CC346" s="51"/>
      <c r="CD346" s="51"/>
      <c r="CE346" s="51"/>
      <c r="CF346" s="51"/>
      <c r="CG346" s="51"/>
      <c r="CH346" s="51"/>
      <c r="CI346" s="51"/>
      <c r="CJ346" s="51"/>
      <c r="CK346" s="51"/>
      <c r="CL346" s="51"/>
      <c r="CM346" s="51"/>
      <c r="CN346" s="51"/>
      <c r="CO346" s="51"/>
      <c r="CP346" s="51"/>
    </row>
    <row r="347" spans="20:94" s="49" customFormat="1" ht="13" customHeight="1">
      <c r="T347" s="51"/>
      <c r="U347" s="51"/>
      <c r="V347" s="51"/>
      <c r="W347" s="51"/>
      <c r="X347" s="51"/>
      <c r="Y347" s="51"/>
      <c r="Z347" s="51"/>
      <c r="AA347" s="51"/>
      <c r="AB347" s="51"/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  <c r="CC347" s="51"/>
      <c r="CD347" s="51"/>
      <c r="CE347" s="51"/>
      <c r="CF347" s="51"/>
      <c r="CG347" s="51"/>
      <c r="CH347" s="51"/>
      <c r="CI347" s="51"/>
      <c r="CJ347" s="51"/>
      <c r="CK347" s="51"/>
      <c r="CL347" s="51"/>
      <c r="CM347" s="51"/>
      <c r="CN347" s="51"/>
      <c r="CO347" s="51"/>
      <c r="CP347" s="51"/>
    </row>
    <row r="348" spans="20:94" s="49" customFormat="1" ht="13" customHeight="1">
      <c r="T348" s="51"/>
      <c r="U348" s="51"/>
      <c r="V348" s="51"/>
      <c r="W348" s="51"/>
      <c r="X348" s="51"/>
      <c r="Y348" s="51"/>
      <c r="Z348" s="51"/>
      <c r="AA348" s="51"/>
      <c r="AB348" s="51"/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  <c r="CC348" s="51"/>
      <c r="CD348" s="51"/>
      <c r="CE348" s="51"/>
      <c r="CF348" s="51"/>
      <c r="CG348" s="51"/>
      <c r="CH348" s="51"/>
      <c r="CI348" s="51"/>
      <c r="CJ348" s="51"/>
      <c r="CK348" s="51"/>
      <c r="CL348" s="51"/>
      <c r="CM348" s="51"/>
      <c r="CN348" s="51"/>
      <c r="CO348" s="51"/>
      <c r="CP348" s="51"/>
    </row>
    <row r="349" spans="20:94" s="49" customFormat="1" ht="13" customHeight="1">
      <c r="T349" s="51"/>
      <c r="U349" s="51"/>
      <c r="V349" s="51"/>
      <c r="W349" s="51"/>
      <c r="X349" s="51"/>
      <c r="Y349" s="51"/>
      <c r="Z349" s="51"/>
      <c r="AA349" s="51"/>
      <c r="AB349" s="51"/>
      <c r="AC349" s="51"/>
      <c r="AD349" s="51"/>
      <c r="AE349" s="51"/>
      <c r="AF349" s="51"/>
      <c r="AG349" s="5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  <c r="CC349" s="51"/>
      <c r="CD349" s="51"/>
      <c r="CE349" s="51"/>
      <c r="CF349" s="51"/>
      <c r="CG349" s="51"/>
      <c r="CH349" s="51"/>
      <c r="CI349" s="51"/>
      <c r="CJ349" s="51"/>
      <c r="CK349" s="51"/>
      <c r="CL349" s="51"/>
      <c r="CM349" s="51"/>
      <c r="CN349" s="51"/>
      <c r="CO349" s="51"/>
      <c r="CP349" s="51"/>
    </row>
    <row r="350" spans="20:94" s="49" customFormat="1" ht="13" customHeight="1">
      <c r="T350" s="51"/>
      <c r="U350" s="51"/>
      <c r="V350" s="51"/>
      <c r="W350" s="51"/>
      <c r="X350" s="51"/>
      <c r="Y350" s="51"/>
      <c r="Z350" s="51"/>
      <c r="AA350" s="51"/>
      <c r="AB350" s="51"/>
      <c r="AC350" s="51"/>
      <c r="AD350" s="51"/>
      <c r="AE350" s="51"/>
      <c r="AF350" s="51"/>
      <c r="AG350" s="5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  <c r="CC350" s="51"/>
      <c r="CD350" s="51"/>
      <c r="CE350" s="51"/>
      <c r="CF350" s="51"/>
      <c r="CG350" s="51"/>
      <c r="CH350" s="51"/>
      <c r="CI350" s="51"/>
      <c r="CJ350" s="51"/>
      <c r="CK350" s="51"/>
      <c r="CL350" s="51"/>
      <c r="CM350" s="51"/>
      <c r="CN350" s="51"/>
      <c r="CO350" s="51"/>
      <c r="CP350" s="51"/>
    </row>
    <row r="351" spans="20:94" s="49" customFormat="1" ht="13" customHeight="1">
      <c r="T351" s="51"/>
      <c r="U351" s="51"/>
      <c r="V351" s="51"/>
      <c r="W351" s="51"/>
      <c r="X351" s="51"/>
      <c r="Y351" s="51"/>
      <c r="Z351" s="51"/>
      <c r="AA351" s="51"/>
      <c r="AB351" s="51"/>
      <c r="AC351" s="51"/>
      <c r="AD351" s="51"/>
      <c r="AE351" s="51"/>
      <c r="AF351" s="51"/>
      <c r="AG351" s="5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  <c r="CC351" s="51"/>
      <c r="CD351" s="51"/>
      <c r="CE351" s="51"/>
      <c r="CF351" s="51"/>
      <c r="CG351" s="51"/>
      <c r="CH351" s="51"/>
      <c r="CI351" s="51"/>
      <c r="CJ351" s="51"/>
      <c r="CK351" s="51"/>
      <c r="CL351" s="51"/>
      <c r="CM351" s="51"/>
      <c r="CN351" s="51"/>
      <c r="CO351" s="51"/>
      <c r="CP351" s="51"/>
    </row>
    <row r="352" spans="20:94" s="49" customFormat="1" ht="13" customHeight="1">
      <c r="T352" s="51"/>
      <c r="U352" s="51"/>
      <c r="V352" s="51"/>
      <c r="W352" s="51"/>
      <c r="X352" s="51"/>
      <c r="Y352" s="51"/>
      <c r="Z352" s="51"/>
      <c r="AA352" s="51"/>
      <c r="AB352" s="51"/>
      <c r="AC352" s="51"/>
      <c r="AD352" s="51"/>
      <c r="AE352" s="51"/>
      <c r="AF352" s="51"/>
      <c r="AG352" s="5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  <c r="CC352" s="51"/>
      <c r="CD352" s="51"/>
      <c r="CE352" s="51"/>
      <c r="CF352" s="51"/>
      <c r="CG352" s="51"/>
      <c r="CH352" s="51"/>
      <c r="CI352" s="51"/>
      <c r="CJ352" s="51"/>
      <c r="CK352" s="51"/>
      <c r="CL352" s="51"/>
      <c r="CM352" s="51"/>
      <c r="CN352" s="51"/>
      <c r="CO352" s="51"/>
      <c r="CP352" s="51"/>
    </row>
    <row r="353" spans="20:94" s="49" customFormat="1" ht="13" customHeight="1">
      <c r="T353" s="51"/>
      <c r="U353" s="51"/>
      <c r="V353" s="51"/>
      <c r="W353" s="51"/>
      <c r="X353" s="51"/>
      <c r="Y353" s="51"/>
      <c r="Z353" s="51"/>
      <c r="AA353" s="51"/>
      <c r="AB353" s="51"/>
      <c r="AC353" s="51"/>
      <c r="AD353" s="51"/>
      <c r="AE353" s="51"/>
      <c r="AF353" s="51"/>
      <c r="AG353" s="5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  <c r="CC353" s="51"/>
      <c r="CD353" s="51"/>
      <c r="CE353" s="51"/>
      <c r="CF353" s="51"/>
      <c r="CG353" s="51"/>
      <c r="CH353" s="51"/>
      <c r="CI353" s="51"/>
      <c r="CJ353" s="51"/>
      <c r="CK353" s="51"/>
      <c r="CL353" s="51"/>
      <c r="CM353" s="51"/>
      <c r="CN353" s="51"/>
      <c r="CO353" s="51"/>
      <c r="CP353" s="51"/>
    </row>
    <row r="354" spans="20:94" s="49" customFormat="1" ht="13" customHeight="1">
      <c r="T354" s="51"/>
      <c r="U354" s="51"/>
      <c r="V354" s="51"/>
      <c r="W354" s="51"/>
      <c r="X354" s="51"/>
      <c r="Y354" s="51"/>
      <c r="Z354" s="51"/>
      <c r="AA354" s="51"/>
      <c r="AB354" s="51"/>
      <c r="AC354" s="51"/>
      <c r="AD354" s="51"/>
      <c r="AE354" s="51"/>
      <c r="AF354" s="51"/>
      <c r="AG354" s="5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  <c r="CC354" s="51"/>
      <c r="CD354" s="51"/>
      <c r="CE354" s="51"/>
      <c r="CF354" s="51"/>
      <c r="CG354" s="51"/>
      <c r="CH354" s="51"/>
      <c r="CI354" s="51"/>
      <c r="CJ354" s="51"/>
      <c r="CK354" s="51"/>
      <c r="CL354" s="51"/>
      <c r="CM354" s="51"/>
      <c r="CN354" s="51"/>
      <c r="CO354" s="51"/>
      <c r="CP354" s="51"/>
    </row>
    <row r="355" spans="20:94" s="49" customFormat="1" ht="13" customHeight="1">
      <c r="T355" s="51"/>
      <c r="U355" s="51"/>
      <c r="V355" s="51"/>
      <c r="W355" s="51"/>
      <c r="X355" s="51"/>
      <c r="Y355" s="51"/>
      <c r="Z355" s="51"/>
      <c r="AA355" s="51"/>
      <c r="AB355" s="51"/>
      <c r="AC355" s="51"/>
      <c r="AD355" s="51"/>
      <c r="AE355" s="51"/>
      <c r="AF355" s="51"/>
      <c r="AG355" s="5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  <c r="CC355" s="51"/>
      <c r="CD355" s="51"/>
      <c r="CE355" s="51"/>
      <c r="CF355" s="51"/>
      <c r="CG355" s="51"/>
      <c r="CH355" s="51"/>
      <c r="CI355" s="51"/>
      <c r="CJ355" s="51"/>
      <c r="CK355" s="51"/>
      <c r="CL355" s="51"/>
      <c r="CM355" s="51"/>
      <c r="CN355" s="51"/>
      <c r="CO355" s="51"/>
      <c r="CP355" s="51"/>
    </row>
    <row r="356" spans="20:94" s="49" customFormat="1" ht="13" customHeight="1">
      <c r="T356" s="51"/>
      <c r="U356" s="51"/>
      <c r="V356" s="51"/>
      <c r="W356" s="51"/>
      <c r="X356" s="51"/>
      <c r="Y356" s="51"/>
      <c r="Z356" s="51"/>
      <c r="AA356" s="51"/>
      <c r="AB356" s="51"/>
      <c r="AC356" s="51"/>
      <c r="AD356" s="51"/>
      <c r="AE356" s="51"/>
      <c r="AF356" s="51"/>
      <c r="AG356" s="5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  <c r="CC356" s="51"/>
      <c r="CD356" s="51"/>
      <c r="CE356" s="51"/>
      <c r="CF356" s="51"/>
      <c r="CG356" s="51"/>
      <c r="CH356" s="51"/>
      <c r="CI356" s="51"/>
      <c r="CJ356" s="51"/>
      <c r="CK356" s="51"/>
      <c r="CL356" s="51"/>
      <c r="CM356" s="51"/>
      <c r="CN356" s="51"/>
      <c r="CO356" s="51"/>
      <c r="CP356" s="51"/>
    </row>
    <row r="357" spans="20:94" s="49" customFormat="1" ht="13" customHeight="1">
      <c r="T357" s="51"/>
      <c r="U357" s="51"/>
      <c r="V357" s="51"/>
      <c r="W357" s="51"/>
      <c r="X357" s="51"/>
      <c r="Y357" s="51"/>
      <c r="Z357" s="51"/>
      <c r="AA357" s="51"/>
      <c r="AB357" s="51"/>
      <c r="AC357" s="51"/>
      <c r="AD357" s="51"/>
      <c r="AE357" s="51"/>
      <c r="AF357" s="51"/>
      <c r="AG357" s="5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  <c r="CC357" s="51"/>
      <c r="CD357" s="51"/>
      <c r="CE357" s="51"/>
      <c r="CF357" s="51"/>
      <c r="CG357" s="51"/>
      <c r="CH357" s="51"/>
      <c r="CI357" s="51"/>
      <c r="CJ357" s="51"/>
      <c r="CK357" s="51"/>
      <c r="CL357" s="51"/>
      <c r="CM357" s="51"/>
      <c r="CN357" s="51"/>
      <c r="CO357" s="51"/>
      <c r="CP357" s="51"/>
    </row>
    <row r="358" spans="20:94" s="49" customFormat="1" ht="13" customHeight="1">
      <c r="T358" s="51"/>
      <c r="U358" s="51"/>
      <c r="V358" s="51"/>
      <c r="W358" s="51"/>
      <c r="X358" s="51"/>
      <c r="Y358" s="51"/>
      <c r="Z358" s="51"/>
      <c r="AA358" s="51"/>
      <c r="AB358" s="51"/>
      <c r="AC358" s="51"/>
      <c r="AD358" s="51"/>
      <c r="AE358" s="51"/>
      <c r="AF358" s="51"/>
      <c r="AG358" s="5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  <c r="CC358" s="51"/>
      <c r="CD358" s="51"/>
      <c r="CE358" s="51"/>
      <c r="CF358" s="51"/>
      <c r="CG358" s="51"/>
      <c r="CH358" s="51"/>
      <c r="CI358" s="51"/>
      <c r="CJ358" s="51"/>
      <c r="CK358" s="51"/>
      <c r="CL358" s="51"/>
      <c r="CM358" s="51"/>
      <c r="CN358" s="51"/>
      <c r="CO358" s="51"/>
      <c r="CP358" s="51"/>
    </row>
    <row r="359" spans="20:94" s="49" customFormat="1" ht="13" customHeight="1"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  <c r="CC359" s="51"/>
      <c r="CD359" s="51"/>
      <c r="CE359" s="51"/>
      <c r="CF359" s="51"/>
      <c r="CG359" s="51"/>
      <c r="CH359" s="51"/>
      <c r="CI359" s="51"/>
      <c r="CJ359" s="51"/>
      <c r="CK359" s="51"/>
      <c r="CL359" s="51"/>
      <c r="CM359" s="51"/>
      <c r="CN359" s="51"/>
      <c r="CO359" s="51"/>
      <c r="CP359" s="51"/>
    </row>
    <row r="360" spans="20:94" s="49" customFormat="1" ht="13" customHeight="1">
      <c r="T360" s="51"/>
      <c r="U360" s="51"/>
      <c r="V360" s="51"/>
      <c r="W360" s="51"/>
      <c r="X360" s="51"/>
      <c r="Y360" s="51"/>
      <c r="Z360" s="51"/>
      <c r="AA360" s="51"/>
      <c r="AB360" s="51"/>
      <c r="AC360" s="51"/>
      <c r="AD360" s="51"/>
      <c r="AE360" s="51"/>
      <c r="AF360" s="51"/>
      <c r="AG360" s="5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  <c r="CC360" s="51"/>
      <c r="CD360" s="51"/>
      <c r="CE360" s="51"/>
      <c r="CF360" s="51"/>
      <c r="CG360" s="51"/>
      <c r="CH360" s="51"/>
      <c r="CI360" s="51"/>
      <c r="CJ360" s="51"/>
      <c r="CK360" s="51"/>
      <c r="CL360" s="51"/>
      <c r="CM360" s="51"/>
      <c r="CN360" s="51"/>
      <c r="CO360" s="51"/>
      <c r="CP360" s="51"/>
    </row>
    <row r="361" spans="20:94" s="49" customFormat="1" ht="13" customHeight="1">
      <c r="T361" s="51"/>
      <c r="U361" s="51"/>
      <c r="V361" s="51"/>
      <c r="W361" s="51"/>
      <c r="X361" s="51"/>
      <c r="Y361" s="51"/>
      <c r="Z361" s="51"/>
      <c r="AA361" s="51"/>
      <c r="AB361" s="51"/>
      <c r="AC361" s="51"/>
      <c r="AD361" s="51"/>
      <c r="AE361" s="51"/>
      <c r="AF361" s="51"/>
      <c r="AG361" s="5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  <c r="CC361" s="51"/>
      <c r="CD361" s="51"/>
      <c r="CE361" s="51"/>
      <c r="CF361" s="51"/>
      <c r="CG361" s="51"/>
      <c r="CH361" s="51"/>
      <c r="CI361" s="51"/>
      <c r="CJ361" s="51"/>
      <c r="CK361" s="51"/>
      <c r="CL361" s="51"/>
      <c r="CM361" s="51"/>
      <c r="CN361" s="51"/>
      <c r="CO361" s="51"/>
      <c r="CP361" s="51"/>
    </row>
    <row r="362" spans="20:94" s="49" customFormat="1" ht="13" customHeight="1">
      <c r="T362" s="51"/>
      <c r="U362" s="51"/>
      <c r="V362" s="51"/>
      <c r="W362" s="51"/>
      <c r="X362" s="51"/>
      <c r="Y362" s="51"/>
      <c r="Z362" s="51"/>
      <c r="AA362" s="51"/>
      <c r="AB362" s="51"/>
      <c r="AC362" s="51"/>
      <c r="AD362" s="51"/>
      <c r="AE362" s="51"/>
      <c r="AF362" s="51"/>
      <c r="AG362" s="5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  <c r="CC362" s="51"/>
      <c r="CD362" s="51"/>
      <c r="CE362" s="51"/>
      <c r="CF362" s="51"/>
      <c r="CG362" s="51"/>
      <c r="CH362" s="51"/>
      <c r="CI362" s="51"/>
      <c r="CJ362" s="51"/>
      <c r="CK362" s="51"/>
      <c r="CL362" s="51"/>
      <c r="CM362" s="51"/>
      <c r="CN362" s="51"/>
      <c r="CO362" s="51"/>
      <c r="CP362" s="51"/>
    </row>
    <row r="363" spans="20:94" s="49" customFormat="1" ht="13" customHeight="1">
      <c r="T363" s="51"/>
      <c r="U363" s="51"/>
      <c r="V363" s="51"/>
      <c r="W363" s="51"/>
      <c r="X363" s="51"/>
      <c r="Y363" s="51"/>
      <c r="Z363" s="51"/>
      <c r="AA363" s="51"/>
      <c r="AB363" s="51"/>
      <c r="AC363" s="51"/>
      <c r="AD363" s="51"/>
      <c r="AE363" s="51"/>
      <c r="AF363" s="51"/>
      <c r="AG363" s="5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  <c r="CC363" s="51"/>
      <c r="CD363" s="51"/>
      <c r="CE363" s="51"/>
      <c r="CF363" s="51"/>
      <c r="CG363" s="51"/>
      <c r="CH363" s="51"/>
      <c r="CI363" s="51"/>
      <c r="CJ363" s="51"/>
      <c r="CK363" s="51"/>
      <c r="CL363" s="51"/>
      <c r="CM363" s="51"/>
      <c r="CN363" s="51"/>
      <c r="CO363" s="51"/>
      <c r="CP363" s="51"/>
    </row>
    <row r="364" spans="20:94" s="49" customFormat="1" ht="13" customHeight="1">
      <c r="T364" s="51"/>
      <c r="U364" s="51"/>
      <c r="V364" s="51"/>
      <c r="W364" s="51"/>
      <c r="X364" s="51"/>
      <c r="Y364" s="51"/>
      <c r="Z364" s="51"/>
      <c r="AA364" s="51"/>
      <c r="AB364" s="51"/>
      <c r="AC364" s="51"/>
      <c r="AD364" s="51"/>
      <c r="AE364" s="51"/>
      <c r="AF364" s="51"/>
      <c r="AG364" s="5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  <c r="CC364" s="51"/>
      <c r="CD364" s="51"/>
      <c r="CE364" s="51"/>
      <c r="CF364" s="51"/>
      <c r="CG364" s="51"/>
      <c r="CH364" s="51"/>
      <c r="CI364" s="51"/>
      <c r="CJ364" s="51"/>
      <c r="CK364" s="51"/>
      <c r="CL364" s="51"/>
      <c r="CM364" s="51"/>
      <c r="CN364" s="51"/>
      <c r="CO364" s="51"/>
      <c r="CP364" s="51"/>
    </row>
    <row r="365" spans="20:94" s="49" customFormat="1" ht="13" customHeight="1">
      <c r="T365" s="51"/>
      <c r="U365" s="51"/>
      <c r="V365" s="51"/>
      <c r="W365" s="51"/>
      <c r="X365" s="51"/>
      <c r="Y365" s="51"/>
      <c r="Z365" s="51"/>
      <c r="AA365" s="51"/>
      <c r="AB365" s="51"/>
      <c r="AC365" s="51"/>
      <c r="AD365" s="51"/>
      <c r="AE365" s="51"/>
      <c r="AF365" s="51"/>
      <c r="AG365" s="5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  <c r="CC365" s="51"/>
      <c r="CD365" s="51"/>
      <c r="CE365" s="51"/>
      <c r="CF365" s="51"/>
      <c r="CG365" s="51"/>
      <c r="CH365" s="51"/>
      <c r="CI365" s="51"/>
      <c r="CJ365" s="51"/>
      <c r="CK365" s="51"/>
      <c r="CL365" s="51"/>
      <c r="CM365" s="51"/>
      <c r="CN365" s="51"/>
      <c r="CO365" s="51"/>
      <c r="CP365" s="51"/>
    </row>
    <row r="366" spans="20:94" s="49" customFormat="1" ht="13" customHeight="1">
      <c r="T366" s="51"/>
      <c r="U366" s="51"/>
      <c r="V366" s="51"/>
      <c r="W366" s="51"/>
      <c r="X366" s="51"/>
      <c r="Y366" s="51"/>
      <c r="Z366" s="51"/>
      <c r="AA366" s="51"/>
      <c r="AB366" s="51"/>
      <c r="AC366" s="51"/>
      <c r="AD366" s="51"/>
      <c r="AE366" s="51"/>
      <c r="AF366" s="51"/>
      <c r="AG366" s="5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  <c r="CC366" s="51"/>
      <c r="CD366" s="51"/>
      <c r="CE366" s="51"/>
      <c r="CF366" s="51"/>
      <c r="CG366" s="51"/>
      <c r="CH366" s="51"/>
      <c r="CI366" s="51"/>
      <c r="CJ366" s="51"/>
      <c r="CK366" s="51"/>
      <c r="CL366" s="51"/>
      <c r="CM366" s="51"/>
      <c r="CN366" s="51"/>
      <c r="CO366" s="51"/>
      <c r="CP366" s="51"/>
    </row>
    <row r="367" spans="20:94" s="49" customFormat="1" ht="13" customHeight="1">
      <c r="T367" s="51"/>
      <c r="U367" s="51"/>
      <c r="V367" s="51"/>
      <c r="W367" s="51"/>
      <c r="X367" s="51"/>
      <c r="Y367" s="51"/>
      <c r="Z367" s="51"/>
      <c r="AA367" s="51"/>
      <c r="AB367" s="51"/>
      <c r="AC367" s="51"/>
      <c r="AD367" s="51"/>
      <c r="AE367" s="51"/>
      <c r="AF367" s="51"/>
      <c r="AG367" s="5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  <c r="CC367" s="51"/>
      <c r="CD367" s="51"/>
      <c r="CE367" s="51"/>
      <c r="CF367" s="51"/>
      <c r="CG367" s="51"/>
      <c r="CH367" s="51"/>
      <c r="CI367" s="51"/>
      <c r="CJ367" s="51"/>
      <c r="CK367" s="51"/>
      <c r="CL367" s="51"/>
      <c r="CM367" s="51"/>
      <c r="CN367" s="51"/>
      <c r="CO367" s="51"/>
      <c r="CP367" s="51"/>
    </row>
    <row r="368" spans="20:94" s="49" customFormat="1" ht="13" customHeight="1">
      <c r="T368" s="51"/>
      <c r="U368" s="51"/>
      <c r="V368" s="51"/>
      <c r="W368" s="51"/>
      <c r="X368" s="51"/>
      <c r="Y368" s="51"/>
      <c r="Z368" s="51"/>
      <c r="AA368" s="51"/>
      <c r="AB368" s="51"/>
      <c r="AC368" s="51"/>
      <c r="AD368" s="51"/>
      <c r="AE368" s="51"/>
      <c r="AF368" s="51"/>
      <c r="AG368" s="5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  <c r="CC368" s="51"/>
      <c r="CD368" s="51"/>
      <c r="CE368" s="51"/>
      <c r="CF368" s="51"/>
      <c r="CG368" s="51"/>
      <c r="CH368" s="51"/>
      <c r="CI368" s="51"/>
      <c r="CJ368" s="51"/>
      <c r="CK368" s="51"/>
      <c r="CL368" s="51"/>
      <c r="CM368" s="51"/>
      <c r="CN368" s="51"/>
      <c r="CO368" s="51"/>
      <c r="CP368" s="51"/>
    </row>
    <row r="369" spans="20:94" s="49" customFormat="1" ht="13" customHeight="1">
      <c r="T369" s="51"/>
      <c r="U369" s="51"/>
      <c r="V369" s="51"/>
      <c r="W369" s="51"/>
      <c r="X369" s="51"/>
      <c r="Y369" s="51"/>
      <c r="Z369" s="51"/>
      <c r="AA369" s="51"/>
      <c r="AB369" s="51"/>
      <c r="AC369" s="51"/>
      <c r="AD369" s="51"/>
      <c r="AE369" s="51"/>
      <c r="AF369" s="51"/>
      <c r="AG369" s="5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  <c r="CC369" s="51"/>
      <c r="CD369" s="51"/>
      <c r="CE369" s="51"/>
      <c r="CF369" s="51"/>
      <c r="CG369" s="51"/>
      <c r="CH369" s="51"/>
      <c r="CI369" s="51"/>
      <c r="CJ369" s="51"/>
      <c r="CK369" s="51"/>
      <c r="CL369" s="51"/>
      <c r="CM369" s="51"/>
      <c r="CN369" s="51"/>
      <c r="CO369" s="51"/>
      <c r="CP369" s="51"/>
    </row>
    <row r="370" spans="20:94" s="49" customFormat="1" ht="13" customHeight="1">
      <c r="T370" s="51"/>
      <c r="U370" s="51"/>
      <c r="V370" s="51"/>
      <c r="W370" s="51"/>
      <c r="X370" s="51"/>
      <c r="Y370" s="51"/>
      <c r="Z370" s="51"/>
      <c r="AA370" s="51"/>
      <c r="AB370" s="51"/>
      <c r="AC370" s="51"/>
      <c r="AD370" s="51"/>
      <c r="AE370" s="51"/>
      <c r="AF370" s="51"/>
      <c r="AG370" s="5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  <c r="CC370" s="51"/>
      <c r="CD370" s="51"/>
      <c r="CE370" s="51"/>
      <c r="CF370" s="51"/>
      <c r="CG370" s="51"/>
      <c r="CH370" s="51"/>
      <c r="CI370" s="51"/>
      <c r="CJ370" s="51"/>
      <c r="CK370" s="51"/>
      <c r="CL370" s="51"/>
      <c r="CM370" s="51"/>
      <c r="CN370" s="51"/>
      <c r="CO370" s="51"/>
      <c r="CP370" s="51"/>
    </row>
    <row r="371" spans="20:94" s="49" customFormat="1" ht="13" customHeight="1">
      <c r="T371" s="51"/>
      <c r="U371" s="51"/>
      <c r="V371" s="51"/>
      <c r="W371" s="51"/>
      <c r="X371" s="51"/>
      <c r="Y371" s="51"/>
      <c r="Z371" s="51"/>
      <c r="AA371" s="51"/>
      <c r="AB371" s="51"/>
      <c r="AC371" s="51"/>
      <c r="AD371" s="51"/>
      <c r="AE371" s="51"/>
      <c r="AF371" s="51"/>
      <c r="AG371" s="5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  <c r="CC371" s="51"/>
      <c r="CD371" s="51"/>
      <c r="CE371" s="51"/>
      <c r="CF371" s="51"/>
      <c r="CG371" s="51"/>
      <c r="CH371" s="51"/>
      <c r="CI371" s="51"/>
      <c r="CJ371" s="51"/>
      <c r="CK371" s="51"/>
      <c r="CL371" s="51"/>
      <c r="CM371" s="51"/>
      <c r="CN371" s="51"/>
      <c r="CO371" s="51"/>
      <c r="CP371" s="51"/>
    </row>
    <row r="372" spans="20:94" s="49" customFormat="1" ht="13" customHeight="1">
      <c r="T372" s="51"/>
      <c r="U372" s="51"/>
      <c r="V372" s="51"/>
      <c r="W372" s="51"/>
      <c r="X372" s="51"/>
      <c r="Y372" s="51"/>
      <c r="Z372" s="51"/>
      <c r="AA372" s="51"/>
      <c r="AB372" s="51"/>
      <c r="AC372" s="51"/>
      <c r="AD372" s="51"/>
      <c r="AE372" s="51"/>
      <c r="AF372" s="51"/>
      <c r="AG372" s="5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  <c r="CC372" s="51"/>
      <c r="CD372" s="51"/>
      <c r="CE372" s="51"/>
      <c r="CF372" s="51"/>
      <c r="CG372" s="51"/>
      <c r="CH372" s="51"/>
      <c r="CI372" s="51"/>
      <c r="CJ372" s="51"/>
      <c r="CK372" s="51"/>
      <c r="CL372" s="51"/>
      <c r="CM372" s="51"/>
      <c r="CN372" s="51"/>
      <c r="CO372" s="51"/>
      <c r="CP372" s="51"/>
    </row>
    <row r="373" spans="20:94" s="49" customFormat="1" ht="13" customHeight="1">
      <c r="T373" s="51"/>
      <c r="U373" s="51"/>
      <c r="V373" s="51"/>
      <c r="W373" s="51"/>
      <c r="X373" s="51"/>
      <c r="Y373" s="51"/>
      <c r="Z373" s="51"/>
      <c r="AA373" s="51"/>
      <c r="AB373" s="51"/>
      <c r="AC373" s="51"/>
      <c r="AD373" s="51"/>
      <c r="AE373" s="51"/>
      <c r="AF373" s="51"/>
      <c r="AG373" s="5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  <c r="CC373" s="51"/>
      <c r="CD373" s="51"/>
      <c r="CE373" s="51"/>
      <c r="CF373" s="51"/>
      <c r="CG373" s="51"/>
      <c r="CH373" s="51"/>
      <c r="CI373" s="51"/>
      <c r="CJ373" s="51"/>
      <c r="CK373" s="51"/>
      <c r="CL373" s="51"/>
      <c r="CM373" s="51"/>
      <c r="CN373" s="51"/>
      <c r="CO373" s="51"/>
      <c r="CP373" s="51"/>
    </row>
    <row r="374" spans="20:94" s="49" customFormat="1" ht="13" customHeight="1">
      <c r="T374" s="51"/>
      <c r="U374" s="51"/>
      <c r="V374" s="51"/>
      <c r="W374" s="51"/>
      <c r="X374" s="51"/>
      <c r="Y374" s="51"/>
      <c r="Z374" s="51"/>
      <c r="AA374" s="51"/>
      <c r="AB374" s="51"/>
      <c r="AC374" s="51"/>
      <c r="AD374" s="51"/>
      <c r="AE374" s="51"/>
      <c r="AF374" s="51"/>
      <c r="AG374" s="5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  <c r="CC374" s="51"/>
      <c r="CD374" s="51"/>
      <c r="CE374" s="51"/>
      <c r="CF374" s="51"/>
      <c r="CG374" s="51"/>
      <c r="CH374" s="51"/>
      <c r="CI374" s="51"/>
      <c r="CJ374" s="51"/>
      <c r="CK374" s="51"/>
      <c r="CL374" s="51"/>
      <c r="CM374" s="51"/>
      <c r="CN374" s="51"/>
      <c r="CO374" s="51"/>
      <c r="CP374" s="51"/>
    </row>
    <row r="375" spans="20:94" s="49" customFormat="1" ht="13" customHeight="1">
      <c r="T375" s="51"/>
      <c r="U375" s="51"/>
      <c r="V375" s="51"/>
      <c r="W375" s="51"/>
      <c r="X375" s="51"/>
      <c r="Y375" s="51"/>
      <c r="Z375" s="51"/>
      <c r="AA375" s="51"/>
      <c r="AB375" s="51"/>
      <c r="AC375" s="51"/>
      <c r="AD375" s="51"/>
      <c r="AE375" s="51"/>
      <c r="AF375" s="51"/>
      <c r="AG375" s="5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  <c r="CC375" s="51"/>
      <c r="CD375" s="51"/>
      <c r="CE375" s="51"/>
      <c r="CF375" s="51"/>
      <c r="CG375" s="51"/>
      <c r="CH375" s="51"/>
      <c r="CI375" s="51"/>
      <c r="CJ375" s="51"/>
      <c r="CK375" s="51"/>
      <c r="CL375" s="51"/>
      <c r="CM375" s="51"/>
      <c r="CN375" s="51"/>
      <c r="CO375" s="51"/>
      <c r="CP375" s="51"/>
    </row>
    <row r="376" spans="20:94" s="49" customFormat="1" ht="13" customHeight="1">
      <c r="T376" s="51"/>
      <c r="U376" s="51"/>
      <c r="V376" s="51"/>
      <c r="W376" s="51"/>
      <c r="X376" s="51"/>
      <c r="Y376" s="51"/>
      <c r="Z376" s="51"/>
      <c r="AA376" s="51"/>
      <c r="AB376" s="51"/>
      <c r="AC376" s="51"/>
      <c r="AD376" s="51"/>
      <c r="AE376" s="51"/>
      <c r="AF376" s="51"/>
      <c r="AG376" s="5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  <c r="CC376" s="51"/>
      <c r="CD376" s="51"/>
      <c r="CE376" s="51"/>
      <c r="CF376" s="51"/>
      <c r="CG376" s="51"/>
      <c r="CH376" s="51"/>
      <c r="CI376" s="51"/>
      <c r="CJ376" s="51"/>
      <c r="CK376" s="51"/>
      <c r="CL376" s="51"/>
      <c r="CM376" s="51"/>
      <c r="CN376" s="51"/>
      <c r="CO376" s="51"/>
      <c r="CP376" s="51"/>
    </row>
    <row r="377" spans="20:94" s="49" customFormat="1" ht="13" customHeight="1">
      <c r="T377" s="51"/>
      <c r="U377" s="51"/>
      <c r="V377" s="51"/>
      <c r="W377" s="51"/>
      <c r="X377" s="51"/>
      <c r="Y377" s="51"/>
      <c r="Z377" s="51"/>
      <c r="AA377" s="51"/>
      <c r="AB377" s="51"/>
      <c r="AC377" s="51"/>
      <c r="AD377" s="51"/>
      <c r="AE377" s="51"/>
      <c r="AF377" s="51"/>
      <c r="AG377" s="5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  <c r="CC377" s="51"/>
      <c r="CD377" s="51"/>
      <c r="CE377" s="51"/>
      <c r="CF377" s="51"/>
      <c r="CG377" s="51"/>
      <c r="CH377" s="51"/>
      <c r="CI377" s="51"/>
      <c r="CJ377" s="51"/>
      <c r="CK377" s="51"/>
      <c r="CL377" s="51"/>
      <c r="CM377" s="51"/>
      <c r="CN377" s="51"/>
      <c r="CO377" s="51"/>
      <c r="CP377" s="51"/>
    </row>
    <row r="378" spans="20:94" s="49" customFormat="1" ht="13" customHeight="1">
      <c r="T378" s="51"/>
      <c r="U378" s="51"/>
      <c r="V378" s="51"/>
      <c r="W378" s="51"/>
      <c r="X378" s="51"/>
      <c r="Y378" s="51"/>
      <c r="Z378" s="51"/>
      <c r="AA378" s="51"/>
      <c r="AB378" s="51"/>
      <c r="AC378" s="51"/>
      <c r="AD378" s="51"/>
      <c r="AE378" s="51"/>
      <c r="AF378" s="51"/>
      <c r="AG378" s="5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  <c r="CC378" s="51"/>
      <c r="CD378" s="51"/>
      <c r="CE378" s="51"/>
      <c r="CF378" s="51"/>
      <c r="CG378" s="51"/>
      <c r="CH378" s="51"/>
      <c r="CI378" s="51"/>
      <c r="CJ378" s="51"/>
      <c r="CK378" s="51"/>
      <c r="CL378" s="51"/>
      <c r="CM378" s="51"/>
      <c r="CN378" s="51"/>
      <c r="CO378" s="51"/>
      <c r="CP378" s="51"/>
    </row>
    <row r="379" spans="20:94" s="49" customFormat="1" ht="13" customHeight="1">
      <c r="T379" s="51"/>
      <c r="U379" s="51"/>
      <c r="V379" s="51"/>
      <c r="W379" s="51"/>
      <c r="X379" s="51"/>
      <c r="Y379" s="51"/>
      <c r="Z379" s="51"/>
      <c r="AA379" s="51"/>
      <c r="AB379" s="51"/>
      <c r="AC379" s="51"/>
      <c r="AD379" s="51"/>
      <c r="AE379" s="51"/>
      <c r="AF379" s="51"/>
      <c r="AG379" s="5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  <c r="CC379" s="51"/>
      <c r="CD379" s="51"/>
      <c r="CE379" s="51"/>
      <c r="CF379" s="51"/>
      <c r="CG379" s="51"/>
      <c r="CH379" s="51"/>
      <c r="CI379" s="51"/>
      <c r="CJ379" s="51"/>
      <c r="CK379" s="51"/>
      <c r="CL379" s="51"/>
      <c r="CM379" s="51"/>
      <c r="CN379" s="51"/>
      <c r="CO379" s="51"/>
      <c r="CP379" s="51"/>
    </row>
    <row r="380" spans="20:94" s="49" customFormat="1" ht="13" customHeight="1">
      <c r="T380" s="51"/>
      <c r="U380" s="51"/>
      <c r="V380" s="51"/>
      <c r="W380" s="51"/>
      <c r="X380" s="51"/>
      <c r="Y380" s="51"/>
      <c r="Z380" s="51"/>
      <c r="AA380" s="51"/>
      <c r="AB380" s="51"/>
      <c r="AC380" s="51"/>
      <c r="AD380" s="51"/>
      <c r="AE380" s="51"/>
      <c r="AF380" s="51"/>
      <c r="AG380" s="5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  <c r="CC380" s="51"/>
      <c r="CD380" s="51"/>
      <c r="CE380" s="51"/>
      <c r="CF380" s="51"/>
      <c r="CG380" s="51"/>
      <c r="CH380" s="51"/>
      <c r="CI380" s="51"/>
      <c r="CJ380" s="51"/>
      <c r="CK380" s="51"/>
      <c r="CL380" s="51"/>
      <c r="CM380" s="51"/>
      <c r="CN380" s="51"/>
      <c r="CO380" s="51"/>
      <c r="CP380" s="51"/>
    </row>
    <row r="381" spans="20:94" s="49" customFormat="1" ht="13" customHeight="1">
      <c r="T381" s="51"/>
      <c r="U381" s="51"/>
      <c r="V381" s="51"/>
      <c r="W381" s="51"/>
      <c r="X381" s="51"/>
      <c r="Y381" s="51"/>
      <c r="Z381" s="51"/>
      <c r="AA381" s="51"/>
      <c r="AB381" s="51"/>
      <c r="AC381" s="51"/>
      <c r="AD381" s="51"/>
      <c r="AE381" s="51"/>
      <c r="AF381" s="51"/>
      <c r="AG381" s="5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  <c r="CC381" s="51"/>
      <c r="CD381" s="51"/>
      <c r="CE381" s="51"/>
      <c r="CF381" s="51"/>
      <c r="CG381" s="51"/>
      <c r="CH381" s="51"/>
      <c r="CI381" s="51"/>
      <c r="CJ381" s="51"/>
      <c r="CK381" s="51"/>
      <c r="CL381" s="51"/>
      <c r="CM381" s="51"/>
      <c r="CN381" s="51"/>
      <c r="CO381" s="51"/>
      <c r="CP381" s="51"/>
    </row>
    <row r="382" spans="20:94" s="49" customFormat="1" ht="13" customHeight="1">
      <c r="T382" s="51"/>
      <c r="U382" s="51"/>
      <c r="V382" s="51"/>
      <c r="W382" s="51"/>
      <c r="X382" s="51"/>
      <c r="Y382" s="51"/>
      <c r="Z382" s="51"/>
      <c r="AA382" s="51"/>
      <c r="AB382" s="51"/>
      <c r="AC382" s="51"/>
      <c r="AD382" s="51"/>
      <c r="AE382" s="51"/>
      <c r="AF382" s="51"/>
      <c r="AG382" s="5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  <c r="CC382" s="51"/>
      <c r="CD382" s="51"/>
      <c r="CE382" s="51"/>
      <c r="CF382" s="51"/>
      <c r="CG382" s="51"/>
      <c r="CH382" s="51"/>
      <c r="CI382" s="51"/>
      <c r="CJ382" s="51"/>
      <c r="CK382" s="51"/>
      <c r="CL382" s="51"/>
      <c r="CM382" s="51"/>
      <c r="CN382" s="51"/>
      <c r="CO382" s="51"/>
      <c r="CP382" s="51"/>
    </row>
    <row r="383" spans="20:94" s="49" customFormat="1" ht="13" customHeight="1">
      <c r="T383" s="51"/>
      <c r="U383" s="51"/>
      <c r="V383" s="51"/>
      <c r="W383" s="51"/>
      <c r="X383" s="51"/>
      <c r="Y383" s="51"/>
      <c r="Z383" s="51"/>
      <c r="AA383" s="51"/>
      <c r="AB383" s="51"/>
      <c r="AC383" s="51"/>
      <c r="AD383" s="51"/>
      <c r="AE383" s="51"/>
      <c r="AF383" s="51"/>
      <c r="AG383" s="5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  <c r="CC383" s="51"/>
      <c r="CD383" s="51"/>
      <c r="CE383" s="51"/>
      <c r="CF383" s="51"/>
      <c r="CG383" s="51"/>
      <c r="CH383" s="51"/>
      <c r="CI383" s="51"/>
      <c r="CJ383" s="51"/>
      <c r="CK383" s="51"/>
      <c r="CL383" s="51"/>
      <c r="CM383" s="51"/>
      <c r="CN383" s="51"/>
      <c r="CO383" s="51"/>
      <c r="CP383" s="51"/>
    </row>
    <row r="384" spans="20:94" s="49" customFormat="1" ht="13" customHeight="1">
      <c r="T384" s="51"/>
      <c r="U384" s="51"/>
      <c r="V384" s="51"/>
      <c r="W384" s="51"/>
      <c r="X384" s="51"/>
      <c r="Y384" s="51"/>
      <c r="Z384" s="51"/>
      <c r="AA384" s="51"/>
      <c r="AB384" s="51"/>
      <c r="AC384" s="51"/>
      <c r="AD384" s="51"/>
      <c r="AE384" s="51"/>
      <c r="AF384" s="51"/>
      <c r="AG384" s="5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  <c r="CC384" s="51"/>
      <c r="CD384" s="51"/>
      <c r="CE384" s="51"/>
      <c r="CF384" s="51"/>
      <c r="CG384" s="51"/>
      <c r="CH384" s="51"/>
      <c r="CI384" s="51"/>
      <c r="CJ384" s="51"/>
      <c r="CK384" s="51"/>
      <c r="CL384" s="51"/>
      <c r="CM384" s="51"/>
      <c r="CN384" s="51"/>
      <c r="CO384" s="51"/>
      <c r="CP384" s="51"/>
    </row>
    <row r="385" spans="20:94" s="49" customFormat="1" ht="13" customHeight="1">
      <c r="T385" s="51"/>
      <c r="U385" s="51"/>
      <c r="V385" s="51"/>
      <c r="W385" s="51"/>
      <c r="X385" s="51"/>
      <c r="Y385" s="51"/>
      <c r="Z385" s="51"/>
      <c r="AA385" s="51"/>
      <c r="AB385" s="51"/>
      <c r="AC385" s="51"/>
      <c r="AD385" s="51"/>
      <c r="AE385" s="51"/>
      <c r="AF385" s="51"/>
      <c r="AG385" s="5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  <c r="CC385" s="51"/>
      <c r="CD385" s="51"/>
      <c r="CE385" s="51"/>
      <c r="CF385" s="51"/>
      <c r="CG385" s="51"/>
      <c r="CH385" s="51"/>
      <c r="CI385" s="51"/>
      <c r="CJ385" s="51"/>
      <c r="CK385" s="51"/>
      <c r="CL385" s="51"/>
      <c r="CM385" s="51"/>
      <c r="CN385" s="51"/>
      <c r="CO385" s="51"/>
      <c r="CP385" s="51"/>
    </row>
    <row r="386" spans="20:94" s="49" customFormat="1" ht="13" customHeight="1">
      <c r="T386" s="51"/>
      <c r="U386" s="51"/>
      <c r="V386" s="51"/>
      <c r="W386" s="51"/>
      <c r="X386" s="51"/>
      <c r="Y386" s="51"/>
      <c r="Z386" s="51"/>
      <c r="AA386" s="51"/>
      <c r="AB386" s="51"/>
      <c r="AC386" s="51"/>
      <c r="AD386" s="51"/>
      <c r="AE386" s="51"/>
      <c r="AF386" s="51"/>
      <c r="AG386" s="5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  <c r="CC386" s="51"/>
      <c r="CD386" s="51"/>
      <c r="CE386" s="51"/>
      <c r="CF386" s="51"/>
      <c r="CG386" s="51"/>
      <c r="CH386" s="51"/>
      <c r="CI386" s="51"/>
      <c r="CJ386" s="51"/>
      <c r="CK386" s="51"/>
      <c r="CL386" s="51"/>
      <c r="CM386" s="51"/>
      <c r="CN386" s="51"/>
      <c r="CO386" s="51"/>
      <c r="CP386" s="51"/>
    </row>
    <row r="387" spans="20:94" s="49" customFormat="1" ht="13" customHeight="1">
      <c r="T387" s="51"/>
      <c r="U387" s="51"/>
      <c r="V387" s="51"/>
      <c r="W387" s="51"/>
      <c r="X387" s="51"/>
      <c r="Y387" s="51"/>
      <c r="Z387" s="51"/>
      <c r="AA387" s="51"/>
      <c r="AB387" s="51"/>
      <c r="AC387" s="51"/>
      <c r="AD387" s="51"/>
      <c r="AE387" s="51"/>
      <c r="AF387" s="51"/>
      <c r="AG387" s="5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  <c r="CC387" s="51"/>
      <c r="CD387" s="51"/>
      <c r="CE387" s="51"/>
      <c r="CF387" s="51"/>
      <c r="CG387" s="51"/>
      <c r="CH387" s="51"/>
      <c r="CI387" s="51"/>
      <c r="CJ387" s="51"/>
      <c r="CK387" s="51"/>
      <c r="CL387" s="51"/>
      <c r="CM387" s="51"/>
      <c r="CN387" s="51"/>
      <c r="CO387" s="51"/>
      <c r="CP387" s="51"/>
    </row>
    <row r="388" spans="20:94" s="49" customFormat="1" ht="13" customHeight="1">
      <c r="T388" s="51"/>
      <c r="U388" s="51"/>
      <c r="V388" s="51"/>
      <c r="W388" s="51"/>
      <c r="X388" s="51"/>
      <c r="Y388" s="51"/>
      <c r="Z388" s="51"/>
      <c r="AA388" s="51"/>
      <c r="AB388" s="51"/>
      <c r="AC388" s="51"/>
      <c r="AD388" s="51"/>
      <c r="AE388" s="51"/>
      <c r="AF388" s="51"/>
      <c r="AG388" s="5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  <c r="CC388" s="51"/>
      <c r="CD388" s="51"/>
      <c r="CE388" s="51"/>
      <c r="CF388" s="51"/>
      <c r="CG388" s="51"/>
      <c r="CH388" s="51"/>
      <c r="CI388" s="51"/>
      <c r="CJ388" s="51"/>
      <c r="CK388" s="51"/>
      <c r="CL388" s="51"/>
      <c r="CM388" s="51"/>
      <c r="CN388" s="51"/>
      <c r="CO388" s="51"/>
      <c r="CP388" s="51"/>
    </row>
    <row r="389" spans="20:94" s="49" customFormat="1" ht="13" customHeight="1">
      <c r="T389" s="51"/>
      <c r="U389" s="51"/>
      <c r="V389" s="51"/>
      <c r="W389" s="51"/>
      <c r="X389" s="51"/>
      <c r="Y389" s="51"/>
      <c r="Z389" s="51"/>
      <c r="AA389" s="51"/>
      <c r="AB389" s="51"/>
      <c r="AC389" s="51"/>
      <c r="AD389" s="51"/>
      <c r="AE389" s="51"/>
      <c r="AF389" s="51"/>
      <c r="AG389" s="5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  <c r="CC389" s="51"/>
      <c r="CD389" s="51"/>
      <c r="CE389" s="51"/>
      <c r="CF389" s="51"/>
      <c r="CG389" s="51"/>
      <c r="CH389" s="51"/>
      <c r="CI389" s="51"/>
      <c r="CJ389" s="51"/>
      <c r="CK389" s="51"/>
      <c r="CL389" s="51"/>
      <c r="CM389" s="51"/>
      <c r="CN389" s="51"/>
      <c r="CO389" s="51"/>
      <c r="CP389" s="51"/>
    </row>
    <row r="390" spans="20:94" s="49" customFormat="1" ht="13" customHeight="1">
      <c r="T390" s="51"/>
      <c r="U390" s="51"/>
      <c r="V390" s="51"/>
      <c r="W390" s="51"/>
      <c r="X390" s="51"/>
      <c r="Y390" s="51"/>
      <c r="Z390" s="51"/>
      <c r="AA390" s="51"/>
      <c r="AB390" s="51"/>
      <c r="AC390" s="51"/>
      <c r="AD390" s="51"/>
      <c r="AE390" s="51"/>
      <c r="AF390" s="51"/>
      <c r="AG390" s="5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  <c r="CC390" s="51"/>
      <c r="CD390" s="51"/>
      <c r="CE390" s="51"/>
      <c r="CF390" s="51"/>
      <c r="CG390" s="51"/>
      <c r="CH390" s="51"/>
      <c r="CI390" s="51"/>
      <c r="CJ390" s="51"/>
      <c r="CK390" s="51"/>
      <c r="CL390" s="51"/>
      <c r="CM390" s="51"/>
      <c r="CN390" s="51"/>
      <c r="CO390" s="51"/>
      <c r="CP390" s="51"/>
    </row>
    <row r="391" spans="20:94" s="49" customFormat="1" ht="13" customHeight="1">
      <c r="T391" s="51"/>
      <c r="U391" s="51"/>
      <c r="V391" s="51"/>
      <c r="W391" s="51"/>
      <c r="X391" s="51"/>
      <c r="Y391" s="51"/>
      <c r="Z391" s="51"/>
      <c r="AA391" s="51"/>
      <c r="AB391" s="51"/>
      <c r="AC391" s="51"/>
      <c r="AD391" s="51"/>
      <c r="AE391" s="51"/>
      <c r="AF391" s="51"/>
      <c r="AG391" s="5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  <c r="CC391" s="51"/>
      <c r="CD391" s="51"/>
      <c r="CE391" s="51"/>
      <c r="CF391" s="51"/>
      <c r="CG391" s="51"/>
      <c r="CH391" s="51"/>
      <c r="CI391" s="51"/>
      <c r="CJ391" s="51"/>
      <c r="CK391" s="51"/>
      <c r="CL391" s="51"/>
      <c r="CM391" s="51"/>
      <c r="CN391" s="51"/>
      <c r="CO391" s="51"/>
      <c r="CP391" s="51"/>
    </row>
    <row r="392" spans="20:94" s="49" customFormat="1" ht="13" customHeight="1">
      <c r="T392" s="51"/>
      <c r="U392" s="51"/>
      <c r="V392" s="51"/>
      <c r="W392" s="51"/>
      <c r="X392" s="51"/>
      <c r="Y392" s="51"/>
      <c r="Z392" s="51"/>
      <c r="AA392" s="51"/>
      <c r="AB392" s="51"/>
      <c r="AC392" s="51"/>
      <c r="AD392" s="51"/>
      <c r="AE392" s="51"/>
      <c r="AF392" s="51"/>
      <c r="AG392" s="5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  <c r="CC392" s="51"/>
      <c r="CD392" s="51"/>
      <c r="CE392" s="51"/>
      <c r="CF392" s="51"/>
      <c r="CG392" s="51"/>
      <c r="CH392" s="51"/>
      <c r="CI392" s="51"/>
      <c r="CJ392" s="51"/>
      <c r="CK392" s="51"/>
      <c r="CL392" s="51"/>
      <c r="CM392" s="51"/>
      <c r="CN392" s="51"/>
      <c r="CO392" s="51"/>
      <c r="CP392" s="51"/>
    </row>
    <row r="393" spans="20:94" s="49" customFormat="1" ht="13" customHeight="1">
      <c r="T393" s="51"/>
      <c r="U393" s="51"/>
      <c r="V393" s="51"/>
      <c r="W393" s="51"/>
      <c r="X393" s="51"/>
      <c r="Y393" s="51"/>
      <c r="Z393" s="51"/>
      <c r="AA393" s="51"/>
      <c r="AB393" s="51"/>
      <c r="AC393" s="51"/>
      <c r="AD393" s="51"/>
      <c r="AE393" s="51"/>
      <c r="AF393" s="51"/>
      <c r="AG393" s="5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  <c r="CC393" s="51"/>
      <c r="CD393" s="51"/>
      <c r="CE393" s="51"/>
      <c r="CF393" s="51"/>
      <c r="CG393" s="51"/>
      <c r="CH393" s="51"/>
      <c r="CI393" s="51"/>
      <c r="CJ393" s="51"/>
      <c r="CK393" s="51"/>
      <c r="CL393" s="51"/>
      <c r="CM393" s="51"/>
      <c r="CN393" s="51"/>
      <c r="CO393" s="51"/>
      <c r="CP393" s="51"/>
    </row>
    <row r="394" spans="20:94" s="49" customFormat="1" ht="13" customHeight="1">
      <c r="T394" s="51"/>
      <c r="U394" s="51"/>
      <c r="V394" s="51"/>
      <c r="W394" s="51"/>
      <c r="X394" s="51"/>
      <c r="Y394" s="51"/>
      <c r="Z394" s="51"/>
      <c r="AA394" s="51"/>
      <c r="AB394" s="51"/>
      <c r="AC394" s="51"/>
      <c r="AD394" s="51"/>
      <c r="AE394" s="51"/>
      <c r="AF394" s="51"/>
      <c r="AG394" s="5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  <c r="CC394" s="51"/>
      <c r="CD394" s="51"/>
      <c r="CE394" s="51"/>
      <c r="CF394" s="51"/>
      <c r="CG394" s="51"/>
      <c r="CH394" s="51"/>
      <c r="CI394" s="51"/>
      <c r="CJ394" s="51"/>
      <c r="CK394" s="51"/>
      <c r="CL394" s="51"/>
      <c r="CM394" s="51"/>
      <c r="CN394" s="51"/>
      <c r="CO394" s="51"/>
      <c r="CP394" s="51"/>
    </row>
    <row r="395" spans="20:94" s="49" customFormat="1" ht="13" customHeight="1"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  <c r="CC395" s="51"/>
      <c r="CD395" s="51"/>
      <c r="CE395" s="51"/>
      <c r="CF395" s="51"/>
      <c r="CG395" s="51"/>
      <c r="CH395" s="51"/>
      <c r="CI395" s="51"/>
      <c r="CJ395" s="51"/>
      <c r="CK395" s="51"/>
      <c r="CL395" s="51"/>
      <c r="CM395" s="51"/>
      <c r="CN395" s="51"/>
      <c r="CO395" s="51"/>
      <c r="CP395" s="51"/>
    </row>
    <row r="396" spans="20:94" s="49" customFormat="1" ht="13" customHeight="1">
      <c r="T396" s="51"/>
      <c r="U396" s="51"/>
      <c r="V396" s="51"/>
      <c r="W396" s="51"/>
      <c r="X396" s="51"/>
      <c r="Y396" s="51"/>
      <c r="Z396" s="51"/>
      <c r="AA396" s="51"/>
      <c r="AB396" s="51"/>
      <c r="AC396" s="51"/>
      <c r="AD396" s="51"/>
      <c r="AE396" s="51"/>
      <c r="AF396" s="51"/>
      <c r="AG396" s="5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  <c r="CC396" s="51"/>
      <c r="CD396" s="51"/>
      <c r="CE396" s="51"/>
      <c r="CF396" s="51"/>
      <c r="CG396" s="51"/>
      <c r="CH396" s="51"/>
      <c r="CI396" s="51"/>
      <c r="CJ396" s="51"/>
      <c r="CK396" s="51"/>
      <c r="CL396" s="51"/>
      <c r="CM396" s="51"/>
      <c r="CN396" s="51"/>
      <c r="CO396" s="51"/>
      <c r="CP396" s="51"/>
    </row>
    <row r="397" spans="20:94" s="49" customFormat="1" ht="13" customHeight="1">
      <c r="T397" s="51"/>
      <c r="U397" s="51"/>
      <c r="V397" s="51"/>
      <c r="W397" s="51"/>
      <c r="X397" s="51"/>
      <c r="Y397" s="51"/>
      <c r="Z397" s="51"/>
      <c r="AA397" s="51"/>
      <c r="AB397" s="51"/>
      <c r="AC397" s="51"/>
      <c r="AD397" s="51"/>
      <c r="AE397" s="51"/>
      <c r="AF397" s="51"/>
      <c r="AG397" s="5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  <c r="CC397" s="51"/>
      <c r="CD397" s="51"/>
      <c r="CE397" s="51"/>
      <c r="CF397" s="51"/>
      <c r="CG397" s="51"/>
      <c r="CH397" s="51"/>
      <c r="CI397" s="51"/>
      <c r="CJ397" s="51"/>
      <c r="CK397" s="51"/>
      <c r="CL397" s="51"/>
      <c r="CM397" s="51"/>
      <c r="CN397" s="51"/>
      <c r="CO397" s="51"/>
      <c r="CP397" s="51"/>
    </row>
    <row r="398" spans="20:94" s="49" customFormat="1" ht="13" customHeight="1">
      <c r="T398" s="51"/>
      <c r="U398" s="51"/>
      <c r="V398" s="51"/>
      <c r="W398" s="51"/>
      <c r="X398" s="51"/>
      <c r="Y398" s="51"/>
      <c r="Z398" s="51"/>
      <c r="AA398" s="51"/>
      <c r="AB398" s="51"/>
      <c r="AC398" s="51"/>
      <c r="AD398" s="51"/>
      <c r="AE398" s="51"/>
      <c r="AF398" s="51"/>
      <c r="AG398" s="5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  <c r="CC398" s="51"/>
      <c r="CD398" s="51"/>
      <c r="CE398" s="51"/>
      <c r="CF398" s="51"/>
      <c r="CG398" s="51"/>
      <c r="CH398" s="51"/>
      <c r="CI398" s="51"/>
      <c r="CJ398" s="51"/>
      <c r="CK398" s="51"/>
      <c r="CL398" s="51"/>
      <c r="CM398" s="51"/>
      <c r="CN398" s="51"/>
      <c r="CO398" s="51"/>
      <c r="CP398" s="51"/>
    </row>
    <row r="399" spans="20:94" s="49" customFormat="1" ht="13" customHeight="1">
      <c r="T399" s="51"/>
      <c r="U399" s="51"/>
      <c r="V399" s="51"/>
      <c r="W399" s="51"/>
      <c r="X399" s="51"/>
      <c r="Y399" s="51"/>
      <c r="Z399" s="51"/>
      <c r="AA399" s="51"/>
      <c r="AB399" s="51"/>
      <c r="AC399" s="51"/>
      <c r="AD399" s="51"/>
      <c r="AE399" s="51"/>
      <c r="AF399" s="51"/>
      <c r="AG399" s="5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  <c r="CC399" s="51"/>
      <c r="CD399" s="51"/>
      <c r="CE399" s="51"/>
      <c r="CF399" s="51"/>
      <c r="CG399" s="51"/>
      <c r="CH399" s="51"/>
      <c r="CI399" s="51"/>
      <c r="CJ399" s="51"/>
      <c r="CK399" s="51"/>
      <c r="CL399" s="51"/>
      <c r="CM399" s="51"/>
      <c r="CN399" s="51"/>
      <c r="CO399" s="51"/>
      <c r="CP399" s="51"/>
    </row>
    <row r="400" spans="20:94" s="49" customFormat="1" ht="13" customHeight="1">
      <c r="T400" s="51"/>
      <c r="U400" s="51"/>
      <c r="V400" s="51"/>
      <c r="W400" s="51"/>
      <c r="X400" s="51"/>
      <c r="Y400" s="51"/>
      <c r="Z400" s="51"/>
      <c r="AA400" s="51"/>
      <c r="AB400" s="51"/>
      <c r="AC400" s="51"/>
      <c r="AD400" s="51"/>
      <c r="AE400" s="51"/>
      <c r="AF400" s="51"/>
      <c r="AG400" s="5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  <c r="CC400" s="51"/>
      <c r="CD400" s="51"/>
      <c r="CE400" s="51"/>
      <c r="CF400" s="51"/>
      <c r="CG400" s="51"/>
      <c r="CH400" s="51"/>
      <c r="CI400" s="51"/>
      <c r="CJ400" s="51"/>
      <c r="CK400" s="51"/>
      <c r="CL400" s="51"/>
      <c r="CM400" s="51"/>
      <c r="CN400" s="51"/>
      <c r="CO400" s="51"/>
      <c r="CP400" s="51"/>
    </row>
    <row r="401" spans="20:94" s="49" customFormat="1" ht="13" customHeight="1">
      <c r="T401" s="51"/>
      <c r="U401" s="51"/>
      <c r="V401" s="51"/>
      <c r="W401" s="51"/>
      <c r="X401" s="51"/>
      <c r="Y401" s="51"/>
      <c r="Z401" s="51"/>
      <c r="AA401" s="51"/>
      <c r="AB401" s="51"/>
      <c r="AC401" s="51"/>
      <c r="AD401" s="51"/>
      <c r="AE401" s="51"/>
      <c r="AF401" s="51"/>
      <c r="AG401" s="5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  <c r="CC401" s="51"/>
      <c r="CD401" s="51"/>
      <c r="CE401" s="51"/>
      <c r="CF401" s="51"/>
      <c r="CG401" s="51"/>
      <c r="CH401" s="51"/>
      <c r="CI401" s="51"/>
      <c r="CJ401" s="51"/>
      <c r="CK401" s="51"/>
      <c r="CL401" s="51"/>
      <c r="CM401" s="51"/>
      <c r="CN401" s="51"/>
      <c r="CO401" s="51"/>
      <c r="CP401" s="51"/>
    </row>
    <row r="402" spans="20:94" s="49" customFormat="1" ht="13" customHeight="1"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  <c r="CC402" s="51"/>
      <c r="CD402" s="51"/>
      <c r="CE402" s="51"/>
      <c r="CF402" s="51"/>
      <c r="CG402" s="51"/>
      <c r="CH402" s="51"/>
      <c r="CI402" s="51"/>
      <c r="CJ402" s="51"/>
      <c r="CK402" s="51"/>
      <c r="CL402" s="51"/>
      <c r="CM402" s="51"/>
      <c r="CN402" s="51"/>
      <c r="CO402" s="51"/>
      <c r="CP402" s="51"/>
    </row>
    <row r="403" spans="20:94" s="49" customFormat="1" ht="13" customHeight="1">
      <c r="T403" s="51"/>
      <c r="U403" s="51"/>
      <c r="V403" s="51"/>
      <c r="W403" s="51"/>
      <c r="X403" s="51"/>
      <c r="Y403" s="51"/>
      <c r="Z403" s="51"/>
      <c r="AA403" s="51"/>
      <c r="AB403" s="51"/>
      <c r="AC403" s="51"/>
      <c r="AD403" s="51"/>
      <c r="AE403" s="51"/>
      <c r="AF403" s="51"/>
      <c r="AG403" s="5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  <c r="CC403" s="51"/>
      <c r="CD403" s="51"/>
      <c r="CE403" s="51"/>
      <c r="CF403" s="51"/>
      <c r="CG403" s="51"/>
      <c r="CH403" s="51"/>
      <c r="CI403" s="51"/>
      <c r="CJ403" s="51"/>
      <c r="CK403" s="51"/>
      <c r="CL403" s="51"/>
      <c r="CM403" s="51"/>
      <c r="CN403" s="51"/>
      <c r="CO403" s="51"/>
      <c r="CP403" s="51"/>
    </row>
    <row r="404" spans="20:94" s="49" customFormat="1" ht="13" customHeight="1">
      <c r="T404" s="51"/>
      <c r="U404" s="51"/>
      <c r="V404" s="51"/>
      <c r="W404" s="51"/>
      <c r="X404" s="51"/>
      <c r="Y404" s="51"/>
      <c r="Z404" s="51"/>
      <c r="AA404" s="51"/>
      <c r="AB404" s="51"/>
      <c r="AC404" s="51"/>
      <c r="AD404" s="51"/>
      <c r="AE404" s="51"/>
      <c r="AF404" s="51"/>
      <c r="AG404" s="5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  <c r="CC404" s="51"/>
      <c r="CD404" s="51"/>
      <c r="CE404" s="51"/>
      <c r="CF404" s="51"/>
      <c r="CG404" s="51"/>
      <c r="CH404" s="51"/>
      <c r="CI404" s="51"/>
      <c r="CJ404" s="51"/>
      <c r="CK404" s="51"/>
      <c r="CL404" s="51"/>
      <c r="CM404" s="51"/>
      <c r="CN404" s="51"/>
      <c r="CO404" s="51"/>
      <c r="CP404" s="51"/>
    </row>
    <row r="405" spans="20:94" s="49" customFormat="1" ht="13" customHeight="1">
      <c r="T405" s="51"/>
      <c r="U405" s="51"/>
      <c r="V405" s="51"/>
      <c r="W405" s="51"/>
      <c r="X405" s="51"/>
      <c r="Y405" s="51"/>
      <c r="Z405" s="51"/>
      <c r="AA405" s="51"/>
      <c r="AB405" s="51"/>
      <c r="AC405" s="51"/>
      <c r="AD405" s="51"/>
      <c r="AE405" s="51"/>
      <c r="AF405" s="51"/>
      <c r="AG405" s="5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  <c r="CC405" s="51"/>
      <c r="CD405" s="51"/>
      <c r="CE405" s="51"/>
      <c r="CF405" s="51"/>
      <c r="CG405" s="51"/>
      <c r="CH405" s="51"/>
      <c r="CI405" s="51"/>
      <c r="CJ405" s="51"/>
      <c r="CK405" s="51"/>
      <c r="CL405" s="51"/>
      <c r="CM405" s="51"/>
      <c r="CN405" s="51"/>
      <c r="CO405" s="51"/>
      <c r="CP405" s="51"/>
    </row>
    <row r="406" spans="20:94" s="49" customFormat="1" ht="13" customHeight="1">
      <c r="T406" s="51"/>
      <c r="U406" s="51"/>
      <c r="V406" s="51"/>
      <c r="W406" s="51"/>
      <c r="X406" s="51"/>
      <c r="Y406" s="51"/>
      <c r="Z406" s="51"/>
      <c r="AA406" s="51"/>
      <c r="AB406" s="51"/>
      <c r="AC406" s="51"/>
      <c r="AD406" s="51"/>
      <c r="AE406" s="51"/>
      <c r="AF406" s="51"/>
      <c r="AG406" s="5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  <c r="CC406" s="51"/>
      <c r="CD406" s="51"/>
      <c r="CE406" s="51"/>
      <c r="CF406" s="51"/>
      <c r="CG406" s="51"/>
      <c r="CH406" s="51"/>
      <c r="CI406" s="51"/>
      <c r="CJ406" s="51"/>
      <c r="CK406" s="51"/>
      <c r="CL406" s="51"/>
      <c r="CM406" s="51"/>
      <c r="CN406" s="51"/>
      <c r="CO406" s="51"/>
      <c r="CP406" s="51"/>
    </row>
    <row r="407" spans="20:94" s="49" customFormat="1" ht="13" customHeight="1">
      <c r="T407" s="51"/>
      <c r="U407" s="51"/>
      <c r="V407" s="51"/>
      <c r="W407" s="51"/>
      <c r="X407" s="51"/>
      <c r="Y407" s="51"/>
      <c r="Z407" s="51"/>
      <c r="AA407" s="51"/>
      <c r="AB407" s="51"/>
      <c r="AC407" s="51"/>
      <c r="AD407" s="51"/>
      <c r="AE407" s="51"/>
      <c r="AF407" s="51"/>
      <c r="AG407" s="5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  <c r="CC407" s="51"/>
      <c r="CD407" s="51"/>
      <c r="CE407" s="51"/>
      <c r="CF407" s="51"/>
      <c r="CG407" s="51"/>
      <c r="CH407" s="51"/>
      <c r="CI407" s="51"/>
      <c r="CJ407" s="51"/>
      <c r="CK407" s="51"/>
      <c r="CL407" s="51"/>
      <c r="CM407" s="51"/>
      <c r="CN407" s="51"/>
      <c r="CO407" s="51"/>
      <c r="CP407" s="51"/>
    </row>
    <row r="408" spans="20:94" s="49" customFormat="1" ht="13" customHeight="1">
      <c r="T408" s="51"/>
      <c r="U408" s="51"/>
      <c r="V408" s="51"/>
      <c r="W408" s="51"/>
      <c r="X408" s="51"/>
      <c r="Y408" s="51"/>
      <c r="Z408" s="51"/>
      <c r="AA408" s="51"/>
      <c r="AB408" s="51"/>
      <c r="AC408" s="51"/>
      <c r="AD408" s="51"/>
      <c r="AE408" s="51"/>
      <c r="AF408" s="51"/>
      <c r="AG408" s="5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  <c r="CC408" s="51"/>
      <c r="CD408" s="51"/>
      <c r="CE408" s="51"/>
      <c r="CF408" s="51"/>
      <c r="CG408" s="51"/>
      <c r="CH408" s="51"/>
      <c r="CI408" s="51"/>
      <c r="CJ408" s="51"/>
      <c r="CK408" s="51"/>
      <c r="CL408" s="51"/>
      <c r="CM408" s="51"/>
      <c r="CN408" s="51"/>
      <c r="CO408" s="51"/>
      <c r="CP408" s="51"/>
    </row>
    <row r="409" spans="20:94" s="49" customFormat="1" ht="13" customHeight="1"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  <c r="CC409" s="51"/>
      <c r="CD409" s="51"/>
      <c r="CE409" s="51"/>
      <c r="CF409" s="51"/>
      <c r="CG409" s="51"/>
      <c r="CH409" s="51"/>
      <c r="CI409" s="51"/>
      <c r="CJ409" s="51"/>
      <c r="CK409" s="51"/>
      <c r="CL409" s="51"/>
      <c r="CM409" s="51"/>
      <c r="CN409" s="51"/>
      <c r="CO409" s="51"/>
      <c r="CP409" s="51"/>
    </row>
    <row r="410" spans="20:94" s="49" customFormat="1" ht="13" customHeight="1"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  <c r="CC410" s="51"/>
      <c r="CD410" s="51"/>
      <c r="CE410" s="51"/>
      <c r="CF410" s="51"/>
      <c r="CG410" s="51"/>
      <c r="CH410" s="51"/>
      <c r="CI410" s="51"/>
      <c r="CJ410" s="51"/>
      <c r="CK410" s="51"/>
      <c r="CL410" s="51"/>
      <c r="CM410" s="51"/>
      <c r="CN410" s="51"/>
      <c r="CO410" s="51"/>
      <c r="CP410" s="51"/>
    </row>
    <row r="411" spans="20:94" s="49" customFormat="1" ht="13" customHeight="1"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  <c r="CC411" s="51"/>
      <c r="CD411" s="51"/>
      <c r="CE411" s="51"/>
      <c r="CF411" s="51"/>
      <c r="CG411" s="51"/>
      <c r="CH411" s="51"/>
      <c r="CI411" s="51"/>
      <c r="CJ411" s="51"/>
      <c r="CK411" s="51"/>
      <c r="CL411" s="51"/>
      <c r="CM411" s="51"/>
      <c r="CN411" s="51"/>
      <c r="CO411" s="51"/>
      <c r="CP411" s="51"/>
    </row>
    <row r="412" spans="20:94" s="49" customFormat="1" ht="13" customHeight="1"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  <c r="CC412" s="51"/>
      <c r="CD412" s="51"/>
      <c r="CE412" s="51"/>
      <c r="CF412" s="51"/>
      <c r="CG412" s="51"/>
      <c r="CH412" s="51"/>
      <c r="CI412" s="51"/>
      <c r="CJ412" s="51"/>
      <c r="CK412" s="51"/>
      <c r="CL412" s="51"/>
      <c r="CM412" s="51"/>
      <c r="CN412" s="51"/>
      <c r="CO412" s="51"/>
      <c r="CP412" s="51"/>
    </row>
    <row r="413" spans="20:94" s="49" customFormat="1" ht="13" customHeight="1"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  <c r="CC413" s="51"/>
      <c r="CD413" s="51"/>
      <c r="CE413" s="51"/>
      <c r="CF413" s="51"/>
      <c r="CG413" s="51"/>
      <c r="CH413" s="51"/>
      <c r="CI413" s="51"/>
      <c r="CJ413" s="51"/>
      <c r="CK413" s="51"/>
      <c r="CL413" s="51"/>
      <c r="CM413" s="51"/>
      <c r="CN413" s="51"/>
      <c r="CO413" s="51"/>
      <c r="CP413" s="51"/>
    </row>
    <row r="414" spans="20:94" s="49" customFormat="1" ht="13" customHeight="1"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  <c r="CC414" s="51"/>
      <c r="CD414" s="51"/>
      <c r="CE414" s="51"/>
      <c r="CF414" s="51"/>
      <c r="CG414" s="51"/>
      <c r="CH414" s="51"/>
      <c r="CI414" s="51"/>
      <c r="CJ414" s="51"/>
      <c r="CK414" s="51"/>
      <c r="CL414" s="51"/>
      <c r="CM414" s="51"/>
      <c r="CN414" s="51"/>
      <c r="CO414" s="51"/>
      <c r="CP414" s="51"/>
    </row>
    <row r="415" spans="20:94" s="49" customFormat="1" ht="13" customHeight="1"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  <c r="CC415" s="51"/>
      <c r="CD415" s="51"/>
      <c r="CE415" s="51"/>
      <c r="CF415" s="51"/>
      <c r="CG415" s="51"/>
      <c r="CH415" s="51"/>
      <c r="CI415" s="51"/>
      <c r="CJ415" s="51"/>
      <c r="CK415" s="51"/>
      <c r="CL415" s="51"/>
      <c r="CM415" s="51"/>
      <c r="CN415" s="51"/>
      <c r="CO415" s="51"/>
      <c r="CP415" s="51"/>
    </row>
    <row r="416" spans="20:94" s="49" customFormat="1" ht="13" customHeight="1"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  <c r="CC416" s="51"/>
      <c r="CD416" s="51"/>
      <c r="CE416" s="51"/>
      <c r="CF416" s="51"/>
      <c r="CG416" s="51"/>
      <c r="CH416" s="51"/>
      <c r="CI416" s="51"/>
      <c r="CJ416" s="51"/>
      <c r="CK416" s="51"/>
      <c r="CL416" s="51"/>
      <c r="CM416" s="51"/>
      <c r="CN416" s="51"/>
      <c r="CO416" s="51"/>
      <c r="CP416" s="51"/>
    </row>
    <row r="417" spans="20:94" s="49" customFormat="1" ht="13" customHeight="1"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  <c r="CC417" s="51"/>
      <c r="CD417" s="51"/>
      <c r="CE417" s="51"/>
      <c r="CF417" s="51"/>
      <c r="CG417" s="51"/>
      <c r="CH417" s="51"/>
      <c r="CI417" s="51"/>
      <c r="CJ417" s="51"/>
      <c r="CK417" s="51"/>
      <c r="CL417" s="51"/>
      <c r="CM417" s="51"/>
      <c r="CN417" s="51"/>
      <c r="CO417" s="51"/>
      <c r="CP417" s="51"/>
    </row>
    <row r="418" spans="20:94" s="49" customFormat="1" ht="13" customHeight="1"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  <c r="CC418" s="51"/>
      <c r="CD418" s="51"/>
      <c r="CE418" s="51"/>
      <c r="CF418" s="51"/>
      <c r="CG418" s="51"/>
      <c r="CH418" s="51"/>
      <c r="CI418" s="51"/>
      <c r="CJ418" s="51"/>
      <c r="CK418" s="51"/>
      <c r="CL418" s="51"/>
      <c r="CM418" s="51"/>
      <c r="CN418" s="51"/>
      <c r="CO418" s="51"/>
      <c r="CP418" s="51"/>
    </row>
    <row r="419" spans="20:94" s="49" customFormat="1" ht="13" customHeight="1"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  <c r="CC419" s="51"/>
      <c r="CD419" s="51"/>
      <c r="CE419" s="51"/>
      <c r="CF419" s="51"/>
      <c r="CG419" s="51"/>
      <c r="CH419" s="51"/>
      <c r="CI419" s="51"/>
      <c r="CJ419" s="51"/>
      <c r="CK419" s="51"/>
      <c r="CL419" s="51"/>
      <c r="CM419" s="51"/>
      <c r="CN419" s="51"/>
      <c r="CO419" s="51"/>
      <c r="CP419" s="51"/>
    </row>
    <row r="420" spans="20:94" s="49" customFormat="1" ht="13" customHeight="1"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  <c r="CC420" s="51"/>
      <c r="CD420" s="51"/>
      <c r="CE420" s="51"/>
      <c r="CF420" s="51"/>
      <c r="CG420" s="51"/>
      <c r="CH420" s="51"/>
      <c r="CI420" s="51"/>
      <c r="CJ420" s="51"/>
      <c r="CK420" s="51"/>
      <c r="CL420" s="51"/>
      <c r="CM420" s="51"/>
      <c r="CN420" s="51"/>
      <c r="CO420" s="51"/>
      <c r="CP420" s="51"/>
    </row>
    <row r="421" spans="20:94" s="49" customFormat="1" ht="13" customHeight="1"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  <c r="CC421" s="51"/>
      <c r="CD421" s="51"/>
      <c r="CE421" s="51"/>
      <c r="CF421" s="51"/>
      <c r="CG421" s="51"/>
      <c r="CH421" s="51"/>
      <c r="CI421" s="51"/>
      <c r="CJ421" s="51"/>
      <c r="CK421" s="51"/>
      <c r="CL421" s="51"/>
      <c r="CM421" s="51"/>
      <c r="CN421" s="51"/>
      <c r="CO421" s="51"/>
      <c r="CP421" s="51"/>
    </row>
    <row r="422" spans="20:94" s="49" customFormat="1" ht="13" customHeight="1"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  <c r="CC422" s="51"/>
      <c r="CD422" s="51"/>
      <c r="CE422" s="51"/>
      <c r="CF422" s="51"/>
      <c r="CG422" s="51"/>
      <c r="CH422" s="51"/>
      <c r="CI422" s="51"/>
      <c r="CJ422" s="51"/>
      <c r="CK422" s="51"/>
      <c r="CL422" s="51"/>
      <c r="CM422" s="51"/>
      <c r="CN422" s="51"/>
      <c r="CO422" s="51"/>
      <c r="CP422" s="51"/>
    </row>
    <row r="423" spans="20:94" s="49" customFormat="1" ht="13" customHeight="1"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  <c r="CC423" s="51"/>
      <c r="CD423" s="51"/>
      <c r="CE423" s="51"/>
      <c r="CF423" s="51"/>
      <c r="CG423" s="51"/>
      <c r="CH423" s="51"/>
      <c r="CI423" s="51"/>
      <c r="CJ423" s="51"/>
      <c r="CK423" s="51"/>
      <c r="CL423" s="51"/>
      <c r="CM423" s="51"/>
      <c r="CN423" s="51"/>
      <c r="CO423" s="51"/>
      <c r="CP423" s="51"/>
    </row>
    <row r="424" spans="20:94" s="49" customFormat="1" ht="13" customHeight="1"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  <c r="CC424" s="51"/>
      <c r="CD424" s="51"/>
      <c r="CE424" s="51"/>
      <c r="CF424" s="51"/>
      <c r="CG424" s="51"/>
      <c r="CH424" s="51"/>
      <c r="CI424" s="51"/>
      <c r="CJ424" s="51"/>
      <c r="CK424" s="51"/>
      <c r="CL424" s="51"/>
      <c r="CM424" s="51"/>
      <c r="CN424" s="51"/>
      <c r="CO424" s="51"/>
      <c r="CP424" s="51"/>
    </row>
    <row r="425" spans="20:94" s="49" customFormat="1" ht="13" customHeight="1"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  <c r="CC425" s="51"/>
      <c r="CD425" s="51"/>
      <c r="CE425" s="51"/>
      <c r="CF425" s="51"/>
      <c r="CG425" s="51"/>
      <c r="CH425" s="51"/>
      <c r="CI425" s="51"/>
      <c r="CJ425" s="51"/>
      <c r="CK425" s="51"/>
      <c r="CL425" s="51"/>
      <c r="CM425" s="51"/>
      <c r="CN425" s="51"/>
      <c r="CO425" s="51"/>
      <c r="CP425" s="51"/>
    </row>
    <row r="426" spans="20:94" s="49" customFormat="1" ht="13" customHeight="1"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  <c r="CC426" s="51"/>
      <c r="CD426" s="51"/>
      <c r="CE426" s="51"/>
      <c r="CF426" s="51"/>
      <c r="CG426" s="51"/>
      <c r="CH426" s="51"/>
      <c r="CI426" s="51"/>
      <c r="CJ426" s="51"/>
      <c r="CK426" s="51"/>
      <c r="CL426" s="51"/>
      <c r="CM426" s="51"/>
      <c r="CN426" s="51"/>
      <c r="CO426" s="51"/>
      <c r="CP426" s="51"/>
    </row>
    <row r="427" spans="20:94" s="49" customFormat="1" ht="13" customHeight="1"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  <c r="CC427" s="51"/>
      <c r="CD427" s="51"/>
      <c r="CE427" s="51"/>
      <c r="CF427" s="51"/>
      <c r="CG427" s="51"/>
      <c r="CH427" s="51"/>
      <c r="CI427" s="51"/>
      <c r="CJ427" s="51"/>
      <c r="CK427" s="51"/>
      <c r="CL427" s="51"/>
      <c r="CM427" s="51"/>
      <c r="CN427" s="51"/>
      <c r="CO427" s="51"/>
      <c r="CP427" s="51"/>
    </row>
    <row r="428" spans="20:94" s="49" customFormat="1" ht="13" customHeight="1"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  <c r="CC428" s="51"/>
      <c r="CD428" s="51"/>
      <c r="CE428" s="51"/>
      <c r="CF428" s="51"/>
      <c r="CG428" s="51"/>
      <c r="CH428" s="51"/>
      <c r="CI428" s="51"/>
      <c r="CJ428" s="51"/>
      <c r="CK428" s="51"/>
      <c r="CL428" s="51"/>
      <c r="CM428" s="51"/>
      <c r="CN428" s="51"/>
      <c r="CO428" s="51"/>
      <c r="CP428" s="51"/>
    </row>
    <row r="429" spans="20:94" s="49" customFormat="1" ht="13" customHeight="1"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  <c r="CC429" s="51"/>
      <c r="CD429" s="51"/>
      <c r="CE429" s="51"/>
      <c r="CF429" s="51"/>
      <c r="CG429" s="51"/>
      <c r="CH429" s="51"/>
      <c r="CI429" s="51"/>
      <c r="CJ429" s="51"/>
      <c r="CK429" s="51"/>
      <c r="CL429" s="51"/>
      <c r="CM429" s="51"/>
      <c r="CN429" s="51"/>
      <c r="CO429" s="51"/>
      <c r="CP429" s="51"/>
    </row>
    <row r="430" spans="20:94" s="49" customFormat="1" ht="13" customHeight="1"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  <c r="CC430" s="51"/>
      <c r="CD430" s="51"/>
      <c r="CE430" s="51"/>
      <c r="CF430" s="51"/>
      <c r="CG430" s="51"/>
      <c r="CH430" s="51"/>
      <c r="CI430" s="51"/>
      <c r="CJ430" s="51"/>
      <c r="CK430" s="51"/>
      <c r="CL430" s="51"/>
      <c r="CM430" s="51"/>
      <c r="CN430" s="51"/>
      <c r="CO430" s="51"/>
      <c r="CP430" s="51"/>
    </row>
    <row r="431" spans="20:94" s="49" customFormat="1" ht="13" customHeight="1"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  <c r="CC431" s="51"/>
      <c r="CD431" s="51"/>
      <c r="CE431" s="51"/>
      <c r="CF431" s="51"/>
      <c r="CG431" s="51"/>
      <c r="CH431" s="51"/>
      <c r="CI431" s="51"/>
      <c r="CJ431" s="51"/>
      <c r="CK431" s="51"/>
      <c r="CL431" s="51"/>
      <c r="CM431" s="51"/>
      <c r="CN431" s="51"/>
      <c r="CO431" s="51"/>
      <c r="CP431" s="51"/>
    </row>
    <row r="432" spans="20:94" s="49" customFormat="1" ht="13" customHeight="1"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  <c r="CC432" s="51"/>
      <c r="CD432" s="51"/>
      <c r="CE432" s="51"/>
      <c r="CF432" s="51"/>
      <c r="CG432" s="51"/>
      <c r="CH432" s="51"/>
      <c r="CI432" s="51"/>
      <c r="CJ432" s="51"/>
      <c r="CK432" s="51"/>
      <c r="CL432" s="51"/>
      <c r="CM432" s="51"/>
      <c r="CN432" s="51"/>
      <c r="CO432" s="51"/>
      <c r="CP432" s="51"/>
    </row>
    <row r="433" spans="20:94" s="49" customFormat="1" ht="13" customHeight="1"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  <c r="CC433" s="51"/>
      <c r="CD433" s="51"/>
      <c r="CE433" s="51"/>
      <c r="CF433" s="51"/>
      <c r="CG433" s="51"/>
      <c r="CH433" s="51"/>
      <c r="CI433" s="51"/>
      <c r="CJ433" s="51"/>
      <c r="CK433" s="51"/>
      <c r="CL433" s="51"/>
      <c r="CM433" s="51"/>
      <c r="CN433" s="51"/>
      <c r="CO433" s="51"/>
      <c r="CP433" s="51"/>
    </row>
    <row r="434" spans="20:94" s="49" customFormat="1" ht="13" customHeight="1"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  <c r="CC434" s="51"/>
      <c r="CD434" s="51"/>
      <c r="CE434" s="51"/>
      <c r="CF434" s="51"/>
      <c r="CG434" s="51"/>
      <c r="CH434" s="51"/>
      <c r="CI434" s="51"/>
      <c r="CJ434" s="51"/>
      <c r="CK434" s="51"/>
      <c r="CL434" s="51"/>
      <c r="CM434" s="51"/>
      <c r="CN434" s="51"/>
      <c r="CO434" s="51"/>
      <c r="CP434" s="51"/>
    </row>
    <row r="435" spans="20:94" s="49" customFormat="1" ht="13" customHeight="1"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  <c r="CC435" s="51"/>
      <c r="CD435" s="51"/>
      <c r="CE435" s="51"/>
      <c r="CF435" s="51"/>
      <c r="CG435" s="51"/>
      <c r="CH435" s="51"/>
      <c r="CI435" s="51"/>
      <c r="CJ435" s="51"/>
      <c r="CK435" s="51"/>
      <c r="CL435" s="51"/>
      <c r="CM435" s="51"/>
      <c r="CN435" s="51"/>
      <c r="CO435" s="51"/>
      <c r="CP435" s="51"/>
    </row>
    <row r="436" spans="20:94" s="49" customFormat="1" ht="13" customHeight="1"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  <c r="CC436" s="51"/>
      <c r="CD436" s="51"/>
      <c r="CE436" s="51"/>
      <c r="CF436" s="51"/>
      <c r="CG436" s="51"/>
      <c r="CH436" s="51"/>
      <c r="CI436" s="51"/>
      <c r="CJ436" s="51"/>
      <c r="CK436" s="51"/>
      <c r="CL436" s="51"/>
      <c r="CM436" s="51"/>
      <c r="CN436" s="51"/>
      <c r="CO436" s="51"/>
      <c r="CP436" s="51"/>
    </row>
    <row r="437" spans="20:94" s="49" customFormat="1" ht="13" customHeight="1"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  <c r="CC437" s="51"/>
      <c r="CD437" s="51"/>
      <c r="CE437" s="51"/>
      <c r="CF437" s="51"/>
      <c r="CG437" s="51"/>
      <c r="CH437" s="51"/>
      <c r="CI437" s="51"/>
      <c r="CJ437" s="51"/>
      <c r="CK437" s="51"/>
      <c r="CL437" s="51"/>
      <c r="CM437" s="51"/>
      <c r="CN437" s="51"/>
      <c r="CO437" s="51"/>
      <c r="CP437" s="51"/>
    </row>
    <row r="438" spans="20:94" s="49" customFormat="1" ht="13" customHeight="1"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  <c r="CC438" s="51"/>
      <c r="CD438" s="51"/>
      <c r="CE438" s="51"/>
      <c r="CF438" s="51"/>
      <c r="CG438" s="51"/>
      <c r="CH438" s="51"/>
      <c r="CI438" s="51"/>
      <c r="CJ438" s="51"/>
      <c r="CK438" s="51"/>
      <c r="CL438" s="51"/>
      <c r="CM438" s="51"/>
      <c r="CN438" s="51"/>
      <c r="CO438" s="51"/>
      <c r="CP438" s="51"/>
    </row>
    <row r="439" spans="20:94" s="49" customFormat="1" ht="13" customHeight="1"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  <c r="CC439" s="51"/>
      <c r="CD439" s="51"/>
      <c r="CE439" s="51"/>
      <c r="CF439" s="51"/>
      <c r="CG439" s="51"/>
      <c r="CH439" s="51"/>
      <c r="CI439" s="51"/>
      <c r="CJ439" s="51"/>
      <c r="CK439" s="51"/>
      <c r="CL439" s="51"/>
      <c r="CM439" s="51"/>
      <c r="CN439" s="51"/>
      <c r="CO439" s="51"/>
      <c r="CP439" s="51"/>
    </row>
    <row r="440" spans="20:94" s="49" customFormat="1" ht="13" customHeight="1"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  <c r="CC440" s="51"/>
      <c r="CD440" s="51"/>
      <c r="CE440" s="51"/>
      <c r="CF440" s="51"/>
      <c r="CG440" s="51"/>
      <c r="CH440" s="51"/>
      <c r="CI440" s="51"/>
      <c r="CJ440" s="51"/>
      <c r="CK440" s="51"/>
      <c r="CL440" s="51"/>
      <c r="CM440" s="51"/>
      <c r="CN440" s="51"/>
      <c r="CO440" s="51"/>
      <c r="CP440" s="51"/>
    </row>
    <row r="441" spans="20:94" s="49" customFormat="1" ht="13" customHeight="1"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  <c r="CC441" s="51"/>
      <c r="CD441" s="51"/>
      <c r="CE441" s="51"/>
      <c r="CF441" s="51"/>
      <c r="CG441" s="51"/>
      <c r="CH441" s="51"/>
      <c r="CI441" s="51"/>
      <c r="CJ441" s="51"/>
      <c r="CK441" s="51"/>
      <c r="CL441" s="51"/>
      <c r="CM441" s="51"/>
      <c r="CN441" s="51"/>
      <c r="CO441" s="51"/>
      <c r="CP441" s="51"/>
    </row>
    <row r="442" spans="20:94" s="49" customFormat="1" ht="13" customHeight="1"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  <c r="CC442" s="51"/>
      <c r="CD442" s="51"/>
      <c r="CE442" s="51"/>
      <c r="CF442" s="51"/>
      <c r="CG442" s="51"/>
      <c r="CH442" s="51"/>
      <c r="CI442" s="51"/>
      <c r="CJ442" s="51"/>
      <c r="CK442" s="51"/>
      <c r="CL442" s="51"/>
      <c r="CM442" s="51"/>
      <c r="CN442" s="51"/>
      <c r="CO442" s="51"/>
      <c r="CP442" s="51"/>
    </row>
    <row r="443" spans="20:94" s="49" customFormat="1" ht="13" customHeight="1"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  <c r="CC443" s="51"/>
      <c r="CD443" s="51"/>
      <c r="CE443" s="51"/>
      <c r="CF443" s="51"/>
      <c r="CG443" s="51"/>
      <c r="CH443" s="51"/>
      <c r="CI443" s="51"/>
      <c r="CJ443" s="51"/>
      <c r="CK443" s="51"/>
      <c r="CL443" s="51"/>
      <c r="CM443" s="51"/>
      <c r="CN443" s="51"/>
      <c r="CO443" s="51"/>
      <c r="CP443" s="51"/>
    </row>
    <row r="444" spans="20:94" s="49" customFormat="1" ht="13" customHeight="1"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  <c r="CC444" s="51"/>
      <c r="CD444" s="51"/>
      <c r="CE444" s="51"/>
      <c r="CF444" s="51"/>
      <c r="CG444" s="51"/>
      <c r="CH444" s="51"/>
      <c r="CI444" s="51"/>
      <c r="CJ444" s="51"/>
      <c r="CK444" s="51"/>
      <c r="CL444" s="51"/>
      <c r="CM444" s="51"/>
      <c r="CN444" s="51"/>
      <c r="CO444" s="51"/>
      <c r="CP444" s="51"/>
    </row>
    <row r="445" spans="20:94" s="49" customFormat="1" ht="13" customHeight="1"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  <c r="CC445" s="51"/>
      <c r="CD445" s="51"/>
      <c r="CE445" s="51"/>
      <c r="CF445" s="51"/>
      <c r="CG445" s="51"/>
      <c r="CH445" s="51"/>
      <c r="CI445" s="51"/>
      <c r="CJ445" s="51"/>
      <c r="CK445" s="51"/>
      <c r="CL445" s="51"/>
      <c r="CM445" s="51"/>
      <c r="CN445" s="51"/>
      <c r="CO445" s="51"/>
      <c r="CP445" s="51"/>
    </row>
    <row r="446" spans="20:94" s="49" customFormat="1" ht="13" customHeight="1"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  <c r="CC446" s="51"/>
      <c r="CD446" s="51"/>
      <c r="CE446" s="51"/>
      <c r="CF446" s="51"/>
      <c r="CG446" s="51"/>
      <c r="CH446" s="51"/>
      <c r="CI446" s="51"/>
      <c r="CJ446" s="51"/>
      <c r="CK446" s="51"/>
      <c r="CL446" s="51"/>
      <c r="CM446" s="51"/>
      <c r="CN446" s="51"/>
      <c r="CO446" s="51"/>
      <c r="CP446" s="51"/>
    </row>
    <row r="447" spans="20:94" s="49" customFormat="1" ht="13" customHeight="1"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  <c r="CC447" s="51"/>
      <c r="CD447" s="51"/>
      <c r="CE447" s="51"/>
      <c r="CF447" s="51"/>
      <c r="CG447" s="51"/>
      <c r="CH447" s="51"/>
      <c r="CI447" s="51"/>
      <c r="CJ447" s="51"/>
      <c r="CK447" s="51"/>
      <c r="CL447" s="51"/>
      <c r="CM447" s="51"/>
      <c r="CN447" s="51"/>
      <c r="CO447" s="51"/>
      <c r="CP447" s="51"/>
    </row>
    <row r="448" spans="20:94" s="49" customFormat="1" ht="13" customHeight="1"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  <c r="CC448" s="51"/>
      <c r="CD448" s="51"/>
      <c r="CE448" s="51"/>
      <c r="CF448" s="51"/>
      <c r="CG448" s="51"/>
      <c r="CH448" s="51"/>
      <c r="CI448" s="51"/>
      <c r="CJ448" s="51"/>
      <c r="CK448" s="51"/>
      <c r="CL448" s="51"/>
      <c r="CM448" s="51"/>
      <c r="CN448" s="51"/>
      <c r="CO448" s="51"/>
      <c r="CP448" s="51"/>
    </row>
    <row r="449" spans="20:94" s="49" customFormat="1" ht="13" customHeight="1"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  <c r="CC449" s="51"/>
      <c r="CD449" s="51"/>
      <c r="CE449" s="51"/>
      <c r="CF449" s="51"/>
      <c r="CG449" s="51"/>
      <c r="CH449" s="51"/>
      <c r="CI449" s="51"/>
      <c r="CJ449" s="51"/>
      <c r="CK449" s="51"/>
      <c r="CL449" s="51"/>
      <c r="CM449" s="51"/>
      <c r="CN449" s="51"/>
      <c r="CO449" s="51"/>
      <c r="CP449" s="51"/>
    </row>
    <row r="450" spans="20:94" s="49" customFormat="1" ht="13" customHeight="1"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  <c r="CC450" s="51"/>
      <c r="CD450" s="51"/>
      <c r="CE450" s="51"/>
      <c r="CF450" s="51"/>
      <c r="CG450" s="51"/>
      <c r="CH450" s="51"/>
      <c r="CI450" s="51"/>
      <c r="CJ450" s="51"/>
      <c r="CK450" s="51"/>
      <c r="CL450" s="51"/>
      <c r="CM450" s="51"/>
      <c r="CN450" s="51"/>
      <c r="CO450" s="51"/>
      <c r="CP450" s="51"/>
    </row>
    <row r="451" spans="20:94" s="49" customFormat="1" ht="13" customHeight="1"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  <c r="CC451" s="51"/>
      <c r="CD451" s="51"/>
      <c r="CE451" s="51"/>
      <c r="CF451" s="51"/>
      <c r="CG451" s="51"/>
      <c r="CH451" s="51"/>
      <c r="CI451" s="51"/>
      <c r="CJ451" s="51"/>
      <c r="CK451" s="51"/>
      <c r="CL451" s="51"/>
      <c r="CM451" s="51"/>
      <c r="CN451" s="51"/>
      <c r="CO451" s="51"/>
      <c r="CP451" s="51"/>
    </row>
    <row r="452" spans="20:94" s="49" customFormat="1" ht="13" customHeight="1"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  <c r="CC452" s="51"/>
      <c r="CD452" s="51"/>
      <c r="CE452" s="51"/>
      <c r="CF452" s="51"/>
      <c r="CG452" s="51"/>
      <c r="CH452" s="51"/>
      <c r="CI452" s="51"/>
      <c r="CJ452" s="51"/>
      <c r="CK452" s="51"/>
      <c r="CL452" s="51"/>
      <c r="CM452" s="51"/>
      <c r="CN452" s="51"/>
      <c r="CO452" s="51"/>
      <c r="CP452" s="51"/>
    </row>
    <row r="453" spans="20:94" s="49" customFormat="1" ht="13" customHeight="1"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  <c r="CC453" s="51"/>
      <c r="CD453" s="51"/>
      <c r="CE453" s="51"/>
      <c r="CF453" s="51"/>
      <c r="CG453" s="51"/>
      <c r="CH453" s="51"/>
      <c r="CI453" s="51"/>
      <c r="CJ453" s="51"/>
      <c r="CK453" s="51"/>
      <c r="CL453" s="51"/>
      <c r="CM453" s="51"/>
      <c r="CN453" s="51"/>
      <c r="CO453" s="51"/>
      <c r="CP453" s="51"/>
    </row>
    <row r="454" spans="20:94" s="49" customFormat="1" ht="13" customHeight="1"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  <c r="CC454" s="51"/>
      <c r="CD454" s="51"/>
      <c r="CE454" s="51"/>
      <c r="CF454" s="51"/>
      <c r="CG454" s="51"/>
      <c r="CH454" s="51"/>
      <c r="CI454" s="51"/>
      <c r="CJ454" s="51"/>
      <c r="CK454" s="51"/>
      <c r="CL454" s="51"/>
      <c r="CM454" s="51"/>
      <c r="CN454" s="51"/>
      <c r="CO454" s="51"/>
      <c r="CP454" s="51"/>
    </row>
    <row r="455" spans="20:94" s="49" customFormat="1" ht="13" customHeight="1"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  <c r="CC455" s="51"/>
      <c r="CD455" s="51"/>
      <c r="CE455" s="51"/>
      <c r="CF455" s="51"/>
      <c r="CG455" s="51"/>
      <c r="CH455" s="51"/>
      <c r="CI455" s="51"/>
      <c r="CJ455" s="51"/>
      <c r="CK455" s="51"/>
      <c r="CL455" s="51"/>
      <c r="CM455" s="51"/>
      <c r="CN455" s="51"/>
      <c r="CO455" s="51"/>
      <c r="CP455" s="51"/>
    </row>
    <row r="456" spans="20:94" s="49" customFormat="1" ht="13" customHeight="1"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  <c r="CC456" s="51"/>
      <c r="CD456" s="51"/>
      <c r="CE456" s="51"/>
      <c r="CF456" s="51"/>
      <c r="CG456" s="51"/>
      <c r="CH456" s="51"/>
      <c r="CI456" s="51"/>
      <c r="CJ456" s="51"/>
      <c r="CK456" s="51"/>
      <c r="CL456" s="51"/>
      <c r="CM456" s="51"/>
      <c r="CN456" s="51"/>
      <c r="CO456" s="51"/>
      <c r="CP456" s="51"/>
    </row>
    <row r="457" spans="20:94" s="49" customFormat="1" ht="13" customHeight="1"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  <c r="CC457" s="51"/>
      <c r="CD457" s="51"/>
      <c r="CE457" s="51"/>
      <c r="CF457" s="51"/>
      <c r="CG457" s="51"/>
      <c r="CH457" s="51"/>
      <c r="CI457" s="51"/>
      <c r="CJ457" s="51"/>
      <c r="CK457" s="51"/>
      <c r="CL457" s="51"/>
      <c r="CM457" s="51"/>
      <c r="CN457" s="51"/>
      <c r="CO457" s="51"/>
      <c r="CP457" s="51"/>
    </row>
    <row r="458" spans="20:94" s="49" customFormat="1" ht="13" customHeight="1"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  <c r="CC458" s="51"/>
      <c r="CD458" s="51"/>
      <c r="CE458" s="51"/>
      <c r="CF458" s="51"/>
      <c r="CG458" s="51"/>
      <c r="CH458" s="51"/>
      <c r="CI458" s="51"/>
      <c r="CJ458" s="51"/>
      <c r="CK458" s="51"/>
      <c r="CL458" s="51"/>
      <c r="CM458" s="51"/>
      <c r="CN458" s="51"/>
      <c r="CO458" s="51"/>
      <c r="CP458" s="51"/>
    </row>
    <row r="459" spans="20:94" s="49" customFormat="1" ht="13" customHeight="1"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  <c r="CC459" s="51"/>
      <c r="CD459" s="51"/>
      <c r="CE459" s="51"/>
      <c r="CF459" s="51"/>
      <c r="CG459" s="51"/>
      <c r="CH459" s="51"/>
      <c r="CI459" s="51"/>
      <c r="CJ459" s="51"/>
      <c r="CK459" s="51"/>
      <c r="CL459" s="51"/>
      <c r="CM459" s="51"/>
      <c r="CN459" s="51"/>
      <c r="CO459" s="51"/>
      <c r="CP459" s="51"/>
    </row>
    <row r="460" spans="20:94" s="49" customFormat="1" ht="13" customHeight="1"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  <c r="CC460" s="51"/>
      <c r="CD460" s="51"/>
      <c r="CE460" s="51"/>
      <c r="CF460" s="51"/>
      <c r="CG460" s="51"/>
      <c r="CH460" s="51"/>
      <c r="CI460" s="51"/>
      <c r="CJ460" s="51"/>
      <c r="CK460" s="51"/>
      <c r="CL460" s="51"/>
      <c r="CM460" s="51"/>
      <c r="CN460" s="51"/>
      <c r="CO460" s="51"/>
      <c r="CP460" s="51"/>
    </row>
    <row r="461" spans="20:94" s="49" customFormat="1" ht="13" customHeight="1"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  <c r="CC461" s="51"/>
      <c r="CD461" s="51"/>
      <c r="CE461" s="51"/>
      <c r="CF461" s="51"/>
      <c r="CG461" s="51"/>
      <c r="CH461" s="51"/>
      <c r="CI461" s="51"/>
      <c r="CJ461" s="51"/>
      <c r="CK461" s="51"/>
      <c r="CL461" s="51"/>
      <c r="CM461" s="51"/>
      <c r="CN461" s="51"/>
      <c r="CO461" s="51"/>
      <c r="CP461" s="51"/>
    </row>
    <row r="462" spans="20:94" s="49" customFormat="1" ht="13" customHeight="1"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  <c r="CC462" s="51"/>
      <c r="CD462" s="51"/>
      <c r="CE462" s="51"/>
      <c r="CF462" s="51"/>
      <c r="CG462" s="51"/>
      <c r="CH462" s="51"/>
      <c r="CI462" s="51"/>
      <c r="CJ462" s="51"/>
      <c r="CK462" s="51"/>
      <c r="CL462" s="51"/>
      <c r="CM462" s="51"/>
      <c r="CN462" s="51"/>
      <c r="CO462" s="51"/>
      <c r="CP462" s="51"/>
    </row>
    <row r="463" spans="20:94" s="49" customFormat="1" ht="13" customHeight="1"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  <c r="CC463" s="51"/>
      <c r="CD463" s="51"/>
      <c r="CE463" s="51"/>
      <c r="CF463" s="51"/>
      <c r="CG463" s="51"/>
      <c r="CH463" s="51"/>
      <c r="CI463" s="51"/>
      <c r="CJ463" s="51"/>
      <c r="CK463" s="51"/>
      <c r="CL463" s="51"/>
      <c r="CM463" s="51"/>
      <c r="CN463" s="51"/>
      <c r="CO463" s="51"/>
      <c r="CP463" s="51"/>
    </row>
    <row r="464" spans="20:94" s="49" customFormat="1" ht="13" customHeight="1"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  <c r="CC464" s="51"/>
      <c r="CD464" s="51"/>
      <c r="CE464" s="51"/>
      <c r="CF464" s="51"/>
      <c r="CG464" s="51"/>
      <c r="CH464" s="51"/>
      <c r="CI464" s="51"/>
      <c r="CJ464" s="51"/>
      <c r="CK464" s="51"/>
      <c r="CL464" s="51"/>
      <c r="CM464" s="51"/>
      <c r="CN464" s="51"/>
      <c r="CO464" s="51"/>
      <c r="CP464" s="51"/>
    </row>
    <row r="465" spans="20:94" s="49" customFormat="1" ht="13" customHeight="1"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  <c r="CC465" s="51"/>
      <c r="CD465" s="51"/>
      <c r="CE465" s="51"/>
      <c r="CF465" s="51"/>
      <c r="CG465" s="51"/>
      <c r="CH465" s="51"/>
      <c r="CI465" s="51"/>
      <c r="CJ465" s="51"/>
      <c r="CK465" s="51"/>
      <c r="CL465" s="51"/>
      <c r="CM465" s="51"/>
      <c r="CN465" s="51"/>
      <c r="CO465" s="51"/>
      <c r="CP465" s="51"/>
    </row>
    <row r="466" spans="20:94" s="49" customFormat="1" ht="13" customHeight="1"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  <c r="CC466" s="51"/>
      <c r="CD466" s="51"/>
      <c r="CE466" s="51"/>
      <c r="CF466" s="51"/>
      <c r="CG466" s="51"/>
      <c r="CH466" s="51"/>
      <c r="CI466" s="51"/>
      <c r="CJ466" s="51"/>
      <c r="CK466" s="51"/>
      <c r="CL466" s="51"/>
      <c r="CM466" s="51"/>
      <c r="CN466" s="51"/>
      <c r="CO466" s="51"/>
      <c r="CP466" s="51"/>
    </row>
    <row r="467" spans="20:94" s="49" customFormat="1" ht="13" customHeight="1"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  <c r="CC467" s="51"/>
      <c r="CD467" s="51"/>
      <c r="CE467" s="51"/>
      <c r="CF467" s="51"/>
      <c r="CG467" s="51"/>
      <c r="CH467" s="51"/>
      <c r="CI467" s="51"/>
      <c r="CJ467" s="51"/>
      <c r="CK467" s="51"/>
      <c r="CL467" s="51"/>
      <c r="CM467" s="51"/>
      <c r="CN467" s="51"/>
      <c r="CO467" s="51"/>
      <c r="CP467" s="51"/>
    </row>
    <row r="468" spans="20:94" s="49" customFormat="1" ht="13" customHeight="1"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  <c r="CC468" s="51"/>
      <c r="CD468" s="51"/>
      <c r="CE468" s="51"/>
      <c r="CF468" s="51"/>
      <c r="CG468" s="51"/>
      <c r="CH468" s="51"/>
      <c r="CI468" s="51"/>
      <c r="CJ468" s="51"/>
      <c r="CK468" s="51"/>
      <c r="CL468" s="51"/>
      <c r="CM468" s="51"/>
      <c r="CN468" s="51"/>
      <c r="CO468" s="51"/>
      <c r="CP468" s="51"/>
    </row>
    <row r="469" spans="20:94" s="49" customFormat="1" ht="13" customHeight="1"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  <c r="CC469" s="51"/>
      <c r="CD469" s="51"/>
      <c r="CE469" s="51"/>
      <c r="CF469" s="51"/>
      <c r="CG469" s="51"/>
      <c r="CH469" s="51"/>
      <c r="CI469" s="51"/>
      <c r="CJ469" s="51"/>
      <c r="CK469" s="51"/>
      <c r="CL469" s="51"/>
      <c r="CM469" s="51"/>
      <c r="CN469" s="51"/>
      <c r="CO469" s="51"/>
      <c r="CP469" s="51"/>
    </row>
    <row r="470" spans="20:94" s="49" customFormat="1" ht="13" customHeight="1"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  <c r="CC470" s="51"/>
      <c r="CD470" s="51"/>
      <c r="CE470" s="51"/>
      <c r="CF470" s="51"/>
      <c r="CG470" s="51"/>
      <c r="CH470" s="51"/>
      <c r="CI470" s="51"/>
      <c r="CJ470" s="51"/>
      <c r="CK470" s="51"/>
      <c r="CL470" s="51"/>
      <c r="CM470" s="51"/>
      <c r="CN470" s="51"/>
      <c r="CO470" s="51"/>
      <c r="CP470" s="51"/>
    </row>
    <row r="471" spans="20:94" s="49" customFormat="1" ht="13" customHeight="1"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  <c r="CC471" s="51"/>
      <c r="CD471" s="51"/>
      <c r="CE471" s="51"/>
      <c r="CF471" s="51"/>
      <c r="CG471" s="51"/>
      <c r="CH471" s="51"/>
      <c r="CI471" s="51"/>
      <c r="CJ471" s="51"/>
      <c r="CK471" s="51"/>
      <c r="CL471" s="51"/>
      <c r="CM471" s="51"/>
      <c r="CN471" s="51"/>
      <c r="CO471" s="51"/>
      <c r="CP471" s="51"/>
    </row>
    <row r="472" spans="20:94" s="49" customFormat="1" ht="13" customHeight="1"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  <c r="CC472" s="51"/>
      <c r="CD472" s="51"/>
      <c r="CE472" s="51"/>
      <c r="CF472" s="51"/>
      <c r="CG472" s="51"/>
      <c r="CH472" s="51"/>
      <c r="CI472" s="51"/>
      <c r="CJ472" s="51"/>
      <c r="CK472" s="51"/>
      <c r="CL472" s="51"/>
      <c r="CM472" s="51"/>
      <c r="CN472" s="51"/>
      <c r="CO472" s="51"/>
      <c r="CP472" s="51"/>
    </row>
    <row r="473" spans="20:94" s="49" customFormat="1" ht="13" customHeight="1"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  <c r="CC473" s="51"/>
      <c r="CD473" s="51"/>
      <c r="CE473" s="51"/>
      <c r="CF473" s="51"/>
      <c r="CG473" s="51"/>
      <c r="CH473" s="51"/>
      <c r="CI473" s="51"/>
      <c r="CJ473" s="51"/>
      <c r="CK473" s="51"/>
      <c r="CL473" s="51"/>
      <c r="CM473" s="51"/>
      <c r="CN473" s="51"/>
      <c r="CO473" s="51"/>
      <c r="CP473" s="51"/>
    </row>
    <row r="474" spans="20:94" s="49" customFormat="1" ht="13" customHeight="1"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  <c r="CC474" s="51"/>
      <c r="CD474" s="51"/>
      <c r="CE474" s="51"/>
      <c r="CF474" s="51"/>
      <c r="CG474" s="51"/>
      <c r="CH474" s="51"/>
      <c r="CI474" s="51"/>
      <c r="CJ474" s="51"/>
      <c r="CK474" s="51"/>
      <c r="CL474" s="51"/>
      <c r="CM474" s="51"/>
      <c r="CN474" s="51"/>
      <c r="CO474" s="51"/>
      <c r="CP474" s="51"/>
    </row>
    <row r="475" spans="20:94" s="49" customFormat="1" ht="13" customHeight="1"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  <c r="CC475" s="51"/>
      <c r="CD475" s="51"/>
      <c r="CE475" s="51"/>
      <c r="CF475" s="51"/>
      <c r="CG475" s="51"/>
      <c r="CH475" s="51"/>
      <c r="CI475" s="51"/>
      <c r="CJ475" s="51"/>
      <c r="CK475" s="51"/>
      <c r="CL475" s="51"/>
      <c r="CM475" s="51"/>
      <c r="CN475" s="51"/>
      <c r="CO475" s="51"/>
      <c r="CP475" s="51"/>
    </row>
    <row r="476" spans="20:94" s="49" customFormat="1" ht="13" customHeight="1"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  <c r="CC476" s="51"/>
      <c r="CD476" s="51"/>
      <c r="CE476" s="51"/>
      <c r="CF476" s="51"/>
      <c r="CG476" s="51"/>
      <c r="CH476" s="51"/>
      <c r="CI476" s="51"/>
      <c r="CJ476" s="51"/>
      <c r="CK476" s="51"/>
      <c r="CL476" s="51"/>
      <c r="CM476" s="51"/>
      <c r="CN476" s="51"/>
      <c r="CO476" s="51"/>
      <c r="CP476" s="51"/>
    </row>
    <row r="477" spans="20:94" s="49" customFormat="1" ht="13" customHeight="1"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  <c r="CC477" s="51"/>
      <c r="CD477" s="51"/>
      <c r="CE477" s="51"/>
      <c r="CF477" s="51"/>
      <c r="CG477" s="51"/>
      <c r="CH477" s="51"/>
      <c r="CI477" s="51"/>
      <c r="CJ477" s="51"/>
      <c r="CK477" s="51"/>
      <c r="CL477" s="51"/>
      <c r="CM477" s="51"/>
      <c r="CN477" s="51"/>
      <c r="CO477" s="51"/>
      <c r="CP477" s="51"/>
    </row>
    <row r="478" spans="20:94" s="49" customFormat="1" ht="13" customHeight="1"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  <c r="CC478" s="51"/>
      <c r="CD478" s="51"/>
      <c r="CE478" s="51"/>
      <c r="CF478" s="51"/>
      <c r="CG478" s="51"/>
      <c r="CH478" s="51"/>
      <c r="CI478" s="51"/>
      <c r="CJ478" s="51"/>
      <c r="CK478" s="51"/>
      <c r="CL478" s="51"/>
      <c r="CM478" s="51"/>
      <c r="CN478" s="51"/>
      <c r="CO478" s="51"/>
      <c r="CP478" s="51"/>
    </row>
    <row r="479" spans="20:94" s="49" customFormat="1" ht="13" customHeight="1"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  <c r="CC479" s="51"/>
      <c r="CD479" s="51"/>
      <c r="CE479" s="51"/>
      <c r="CF479" s="51"/>
      <c r="CG479" s="51"/>
      <c r="CH479" s="51"/>
      <c r="CI479" s="51"/>
      <c r="CJ479" s="51"/>
      <c r="CK479" s="51"/>
      <c r="CL479" s="51"/>
      <c r="CM479" s="51"/>
      <c r="CN479" s="51"/>
      <c r="CO479" s="51"/>
      <c r="CP479" s="51"/>
    </row>
    <row r="480" spans="20:94" s="49" customFormat="1" ht="13" customHeight="1"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  <c r="CC480" s="51"/>
      <c r="CD480" s="51"/>
      <c r="CE480" s="51"/>
      <c r="CF480" s="51"/>
      <c r="CG480" s="51"/>
      <c r="CH480" s="51"/>
      <c r="CI480" s="51"/>
      <c r="CJ480" s="51"/>
      <c r="CK480" s="51"/>
      <c r="CL480" s="51"/>
      <c r="CM480" s="51"/>
      <c r="CN480" s="51"/>
      <c r="CO480" s="51"/>
      <c r="CP480" s="51"/>
    </row>
    <row r="481" spans="20:94" s="49" customFormat="1" ht="13" customHeight="1"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  <c r="CC481" s="51"/>
      <c r="CD481" s="51"/>
      <c r="CE481" s="51"/>
      <c r="CF481" s="51"/>
      <c r="CG481" s="51"/>
      <c r="CH481" s="51"/>
      <c r="CI481" s="51"/>
      <c r="CJ481" s="51"/>
      <c r="CK481" s="51"/>
      <c r="CL481" s="51"/>
      <c r="CM481" s="51"/>
      <c r="CN481" s="51"/>
      <c r="CO481" s="51"/>
      <c r="CP481" s="51"/>
    </row>
    <row r="482" spans="20:94" s="49" customFormat="1" ht="13" customHeight="1"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  <c r="CC482" s="51"/>
      <c r="CD482" s="51"/>
      <c r="CE482" s="51"/>
      <c r="CF482" s="51"/>
      <c r="CG482" s="51"/>
      <c r="CH482" s="51"/>
      <c r="CI482" s="51"/>
      <c r="CJ482" s="51"/>
      <c r="CK482" s="51"/>
      <c r="CL482" s="51"/>
      <c r="CM482" s="51"/>
      <c r="CN482" s="51"/>
      <c r="CO482" s="51"/>
      <c r="CP482" s="51"/>
    </row>
    <row r="483" spans="20:94" s="49" customFormat="1" ht="13" customHeight="1"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  <c r="CC483" s="51"/>
      <c r="CD483" s="51"/>
      <c r="CE483" s="51"/>
      <c r="CF483" s="51"/>
      <c r="CG483" s="51"/>
      <c r="CH483" s="51"/>
      <c r="CI483" s="51"/>
      <c r="CJ483" s="51"/>
      <c r="CK483" s="51"/>
      <c r="CL483" s="51"/>
      <c r="CM483" s="51"/>
      <c r="CN483" s="51"/>
      <c r="CO483" s="51"/>
      <c r="CP483" s="51"/>
    </row>
    <row r="484" spans="20:94" s="49" customFormat="1" ht="13" customHeight="1"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  <c r="CC484" s="51"/>
      <c r="CD484" s="51"/>
      <c r="CE484" s="51"/>
      <c r="CF484" s="51"/>
      <c r="CG484" s="51"/>
      <c r="CH484" s="51"/>
      <c r="CI484" s="51"/>
      <c r="CJ484" s="51"/>
      <c r="CK484" s="51"/>
      <c r="CL484" s="51"/>
      <c r="CM484" s="51"/>
      <c r="CN484" s="51"/>
      <c r="CO484" s="51"/>
      <c r="CP484" s="51"/>
    </row>
    <row r="485" spans="20:94" s="49" customFormat="1" ht="13" customHeight="1"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  <c r="CC485" s="51"/>
      <c r="CD485" s="51"/>
      <c r="CE485" s="51"/>
      <c r="CF485" s="51"/>
      <c r="CG485" s="51"/>
      <c r="CH485" s="51"/>
      <c r="CI485" s="51"/>
      <c r="CJ485" s="51"/>
      <c r="CK485" s="51"/>
      <c r="CL485" s="51"/>
      <c r="CM485" s="51"/>
      <c r="CN485" s="51"/>
      <c r="CO485" s="51"/>
      <c r="CP485" s="51"/>
    </row>
    <row r="486" spans="20:94" s="49" customFormat="1" ht="13" customHeight="1"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  <c r="CC486" s="51"/>
      <c r="CD486" s="51"/>
      <c r="CE486" s="51"/>
      <c r="CF486" s="51"/>
      <c r="CG486" s="51"/>
      <c r="CH486" s="51"/>
      <c r="CI486" s="51"/>
      <c r="CJ486" s="51"/>
      <c r="CK486" s="51"/>
      <c r="CL486" s="51"/>
      <c r="CM486" s="51"/>
      <c r="CN486" s="51"/>
      <c r="CO486" s="51"/>
      <c r="CP486" s="51"/>
    </row>
    <row r="487" spans="20:94" s="49" customFormat="1" ht="13" customHeight="1"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  <c r="CC487" s="51"/>
      <c r="CD487" s="51"/>
      <c r="CE487" s="51"/>
      <c r="CF487" s="51"/>
      <c r="CG487" s="51"/>
      <c r="CH487" s="51"/>
      <c r="CI487" s="51"/>
      <c r="CJ487" s="51"/>
      <c r="CK487" s="51"/>
      <c r="CL487" s="51"/>
      <c r="CM487" s="51"/>
      <c r="CN487" s="51"/>
      <c r="CO487" s="51"/>
      <c r="CP487" s="51"/>
    </row>
    <row r="488" spans="20:94" s="49" customFormat="1" ht="13" customHeight="1"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  <c r="CC488" s="51"/>
      <c r="CD488" s="51"/>
      <c r="CE488" s="51"/>
      <c r="CF488" s="51"/>
      <c r="CG488" s="51"/>
      <c r="CH488" s="51"/>
      <c r="CI488" s="51"/>
      <c r="CJ488" s="51"/>
      <c r="CK488" s="51"/>
      <c r="CL488" s="51"/>
      <c r="CM488" s="51"/>
      <c r="CN488" s="51"/>
      <c r="CO488" s="51"/>
      <c r="CP488" s="51"/>
    </row>
    <row r="489" spans="20:94" s="49" customFormat="1" ht="13" customHeight="1"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  <c r="CC489" s="51"/>
      <c r="CD489" s="51"/>
      <c r="CE489" s="51"/>
      <c r="CF489" s="51"/>
      <c r="CG489" s="51"/>
      <c r="CH489" s="51"/>
      <c r="CI489" s="51"/>
      <c r="CJ489" s="51"/>
      <c r="CK489" s="51"/>
      <c r="CL489" s="51"/>
      <c r="CM489" s="51"/>
      <c r="CN489" s="51"/>
      <c r="CO489" s="51"/>
      <c r="CP489" s="51"/>
    </row>
    <row r="490" spans="20:94" s="49" customFormat="1" ht="13" customHeight="1"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  <c r="CC490" s="51"/>
      <c r="CD490" s="51"/>
      <c r="CE490" s="51"/>
      <c r="CF490" s="51"/>
      <c r="CG490" s="51"/>
      <c r="CH490" s="51"/>
      <c r="CI490" s="51"/>
      <c r="CJ490" s="51"/>
      <c r="CK490" s="51"/>
      <c r="CL490" s="51"/>
      <c r="CM490" s="51"/>
      <c r="CN490" s="51"/>
      <c r="CO490" s="51"/>
      <c r="CP490" s="51"/>
    </row>
    <row r="491" spans="20:94" s="49" customFormat="1" ht="13" customHeight="1"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  <c r="CC491" s="51"/>
      <c r="CD491" s="51"/>
      <c r="CE491" s="51"/>
      <c r="CF491" s="51"/>
      <c r="CG491" s="51"/>
      <c r="CH491" s="51"/>
      <c r="CI491" s="51"/>
      <c r="CJ491" s="51"/>
      <c r="CK491" s="51"/>
      <c r="CL491" s="51"/>
      <c r="CM491" s="51"/>
      <c r="CN491" s="51"/>
      <c r="CO491" s="51"/>
      <c r="CP491" s="51"/>
    </row>
    <row r="492" spans="20:94" s="49" customFormat="1" ht="13" customHeight="1"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  <c r="CC492" s="51"/>
      <c r="CD492" s="51"/>
      <c r="CE492" s="51"/>
      <c r="CF492" s="51"/>
      <c r="CG492" s="51"/>
      <c r="CH492" s="51"/>
      <c r="CI492" s="51"/>
      <c r="CJ492" s="51"/>
      <c r="CK492" s="51"/>
      <c r="CL492" s="51"/>
      <c r="CM492" s="51"/>
      <c r="CN492" s="51"/>
      <c r="CO492" s="51"/>
      <c r="CP492" s="51"/>
    </row>
    <row r="493" spans="20:94" s="49" customFormat="1" ht="13" customHeight="1"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  <c r="CC493" s="51"/>
      <c r="CD493" s="51"/>
      <c r="CE493" s="51"/>
      <c r="CF493" s="51"/>
      <c r="CG493" s="51"/>
      <c r="CH493" s="51"/>
      <c r="CI493" s="51"/>
      <c r="CJ493" s="51"/>
      <c r="CK493" s="51"/>
      <c r="CL493" s="51"/>
      <c r="CM493" s="51"/>
      <c r="CN493" s="51"/>
      <c r="CO493" s="51"/>
      <c r="CP493" s="51"/>
    </row>
    <row r="494" spans="20:94" s="49" customFormat="1" ht="13" customHeight="1"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  <c r="CC494" s="51"/>
      <c r="CD494" s="51"/>
      <c r="CE494" s="51"/>
      <c r="CF494" s="51"/>
      <c r="CG494" s="51"/>
      <c r="CH494" s="51"/>
      <c r="CI494" s="51"/>
      <c r="CJ494" s="51"/>
      <c r="CK494" s="51"/>
      <c r="CL494" s="51"/>
      <c r="CM494" s="51"/>
      <c r="CN494" s="51"/>
      <c r="CO494" s="51"/>
      <c r="CP494" s="51"/>
    </row>
    <row r="495" spans="20:94" s="49" customFormat="1" ht="13" customHeight="1"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  <c r="CC495" s="51"/>
      <c r="CD495" s="51"/>
      <c r="CE495" s="51"/>
      <c r="CF495" s="51"/>
      <c r="CG495" s="51"/>
      <c r="CH495" s="51"/>
      <c r="CI495" s="51"/>
      <c r="CJ495" s="51"/>
      <c r="CK495" s="51"/>
      <c r="CL495" s="51"/>
      <c r="CM495" s="51"/>
      <c r="CN495" s="51"/>
      <c r="CO495" s="51"/>
      <c r="CP495" s="51"/>
    </row>
    <row r="496" spans="20:94" s="49" customFormat="1" ht="13" customHeight="1"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  <c r="CC496" s="51"/>
      <c r="CD496" s="51"/>
      <c r="CE496" s="51"/>
      <c r="CF496" s="51"/>
      <c r="CG496" s="51"/>
      <c r="CH496" s="51"/>
      <c r="CI496" s="51"/>
      <c r="CJ496" s="51"/>
      <c r="CK496" s="51"/>
      <c r="CL496" s="51"/>
      <c r="CM496" s="51"/>
      <c r="CN496" s="51"/>
      <c r="CO496" s="51"/>
      <c r="CP496" s="51"/>
    </row>
    <row r="497" spans="20:94" s="49" customFormat="1" ht="13" customHeight="1"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  <c r="CC497" s="51"/>
      <c r="CD497" s="51"/>
      <c r="CE497" s="51"/>
      <c r="CF497" s="51"/>
      <c r="CG497" s="51"/>
      <c r="CH497" s="51"/>
      <c r="CI497" s="51"/>
      <c r="CJ497" s="51"/>
      <c r="CK497" s="51"/>
      <c r="CL497" s="51"/>
      <c r="CM497" s="51"/>
      <c r="CN497" s="51"/>
      <c r="CO497" s="51"/>
      <c r="CP497" s="51"/>
    </row>
    <row r="498" spans="20:94" s="49" customFormat="1" ht="13" customHeight="1"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  <c r="CC498" s="51"/>
      <c r="CD498" s="51"/>
      <c r="CE498" s="51"/>
      <c r="CF498" s="51"/>
      <c r="CG498" s="51"/>
      <c r="CH498" s="51"/>
      <c r="CI498" s="51"/>
      <c r="CJ498" s="51"/>
      <c r="CK498" s="51"/>
      <c r="CL498" s="51"/>
      <c r="CM498" s="51"/>
      <c r="CN498" s="51"/>
      <c r="CO498" s="51"/>
      <c r="CP498" s="51"/>
    </row>
    <row r="499" spans="20:94" s="49" customFormat="1" ht="13" customHeight="1"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  <c r="CC499" s="51"/>
      <c r="CD499" s="51"/>
      <c r="CE499" s="51"/>
      <c r="CF499" s="51"/>
      <c r="CG499" s="51"/>
      <c r="CH499" s="51"/>
      <c r="CI499" s="51"/>
      <c r="CJ499" s="51"/>
      <c r="CK499" s="51"/>
      <c r="CL499" s="51"/>
      <c r="CM499" s="51"/>
      <c r="CN499" s="51"/>
      <c r="CO499" s="51"/>
      <c r="CP499" s="51"/>
    </row>
    <row r="500" spans="20:94" s="49" customFormat="1" ht="13" customHeight="1"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  <c r="CC500" s="51"/>
      <c r="CD500" s="51"/>
      <c r="CE500" s="51"/>
      <c r="CF500" s="51"/>
      <c r="CG500" s="51"/>
      <c r="CH500" s="51"/>
      <c r="CI500" s="51"/>
      <c r="CJ500" s="51"/>
      <c r="CK500" s="51"/>
      <c r="CL500" s="51"/>
      <c r="CM500" s="51"/>
      <c r="CN500" s="51"/>
      <c r="CO500" s="51"/>
      <c r="CP500" s="51"/>
    </row>
    <row r="501" spans="20:94" s="49" customFormat="1" ht="13" customHeight="1"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  <c r="CC501" s="51"/>
      <c r="CD501" s="51"/>
      <c r="CE501" s="51"/>
      <c r="CF501" s="51"/>
      <c r="CG501" s="51"/>
      <c r="CH501" s="51"/>
      <c r="CI501" s="51"/>
      <c r="CJ501" s="51"/>
      <c r="CK501" s="51"/>
      <c r="CL501" s="51"/>
      <c r="CM501" s="51"/>
      <c r="CN501" s="51"/>
      <c r="CO501" s="51"/>
      <c r="CP501" s="51"/>
    </row>
    <row r="502" spans="20:94" s="49" customFormat="1" ht="13" customHeight="1"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  <c r="CC502" s="51"/>
      <c r="CD502" s="51"/>
      <c r="CE502" s="51"/>
      <c r="CF502" s="51"/>
      <c r="CG502" s="51"/>
      <c r="CH502" s="51"/>
      <c r="CI502" s="51"/>
      <c r="CJ502" s="51"/>
      <c r="CK502" s="51"/>
      <c r="CL502" s="51"/>
      <c r="CM502" s="51"/>
      <c r="CN502" s="51"/>
      <c r="CO502" s="51"/>
      <c r="CP502" s="51"/>
    </row>
    <row r="503" spans="20:94" s="49" customFormat="1" ht="13" customHeight="1"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  <c r="CC503" s="51"/>
      <c r="CD503" s="51"/>
      <c r="CE503" s="51"/>
      <c r="CF503" s="51"/>
      <c r="CG503" s="51"/>
      <c r="CH503" s="51"/>
      <c r="CI503" s="51"/>
      <c r="CJ503" s="51"/>
      <c r="CK503" s="51"/>
      <c r="CL503" s="51"/>
      <c r="CM503" s="51"/>
      <c r="CN503" s="51"/>
      <c r="CO503" s="51"/>
      <c r="CP503" s="51"/>
    </row>
    <row r="504" spans="20:94" s="49" customFormat="1" ht="13" customHeight="1"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  <c r="CC504" s="51"/>
      <c r="CD504" s="51"/>
      <c r="CE504" s="51"/>
      <c r="CF504" s="51"/>
      <c r="CG504" s="51"/>
      <c r="CH504" s="51"/>
      <c r="CI504" s="51"/>
      <c r="CJ504" s="51"/>
      <c r="CK504" s="51"/>
      <c r="CL504" s="51"/>
      <c r="CM504" s="51"/>
      <c r="CN504" s="51"/>
      <c r="CO504" s="51"/>
      <c r="CP504" s="51"/>
    </row>
    <row r="505" spans="20:94" s="49" customFormat="1" ht="13" customHeight="1"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  <c r="CC505" s="51"/>
      <c r="CD505" s="51"/>
      <c r="CE505" s="51"/>
      <c r="CF505" s="51"/>
      <c r="CG505" s="51"/>
      <c r="CH505" s="51"/>
      <c r="CI505" s="51"/>
      <c r="CJ505" s="51"/>
      <c r="CK505" s="51"/>
      <c r="CL505" s="51"/>
      <c r="CM505" s="51"/>
      <c r="CN505" s="51"/>
      <c r="CO505" s="51"/>
      <c r="CP505" s="51"/>
    </row>
    <row r="506" spans="20:94" s="49" customFormat="1" ht="13" customHeight="1"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  <c r="CC506" s="51"/>
      <c r="CD506" s="51"/>
      <c r="CE506" s="51"/>
      <c r="CF506" s="51"/>
      <c r="CG506" s="51"/>
      <c r="CH506" s="51"/>
      <c r="CI506" s="51"/>
      <c r="CJ506" s="51"/>
      <c r="CK506" s="51"/>
      <c r="CL506" s="51"/>
      <c r="CM506" s="51"/>
      <c r="CN506" s="51"/>
      <c r="CO506" s="51"/>
      <c r="CP506" s="51"/>
    </row>
    <row r="507" spans="20:94" s="49" customFormat="1" ht="13" customHeight="1"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  <c r="CC507" s="51"/>
      <c r="CD507" s="51"/>
      <c r="CE507" s="51"/>
      <c r="CF507" s="51"/>
      <c r="CG507" s="51"/>
      <c r="CH507" s="51"/>
      <c r="CI507" s="51"/>
      <c r="CJ507" s="51"/>
      <c r="CK507" s="51"/>
      <c r="CL507" s="51"/>
      <c r="CM507" s="51"/>
      <c r="CN507" s="51"/>
      <c r="CO507" s="51"/>
      <c r="CP507" s="51"/>
    </row>
    <row r="508" spans="20:94" s="49" customFormat="1" ht="13" customHeight="1"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  <c r="CC508" s="51"/>
      <c r="CD508" s="51"/>
      <c r="CE508" s="51"/>
      <c r="CF508" s="51"/>
      <c r="CG508" s="51"/>
      <c r="CH508" s="51"/>
      <c r="CI508" s="51"/>
      <c r="CJ508" s="51"/>
      <c r="CK508" s="51"/>
      <c r="CL508" s="51"/>
      <c r="CM508" s="51"/>
      <c r="CN508" s="51"/>
      <c r="CO508" s="51"/>
      <c r="CP508" s="51"/>
    </row>
    <row r="509" spans="20:94" s="49" customFormat="1" ht="13" customHeight="1"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  <c r="CC509" s="51"/>
      <c r="CD509" s="51"/>
      <c r="CE509" s="51"/>
      <c r="CF509" s="51"/>
      <c r="CG509" s="51"/>
      <c r="CH509" s="51"/>
      <c r="CI509" s="51"/>
      <c r="CJ509" s="51"/>
      <c r="CK509" s="51"/>
      <c r="CL509" s="51"/>
      <c r="CM509" s="51"/>
      <c r="CN509" s="51"/>
      <c r="CO509" s="51"/>
      <c r="CP509" s="51"/>
    </row>
    <row r="510" spans="20:94" s="49" customFormat="1" ht="13" customHeight="1"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  <c r="CC510" s="51"/>
      <c r="CD510" s="51"/>
      <c r="CE510" s="51"/>
      <c r="CF510" s="51"/>
      <c r="CG510" s="51"/>
      <c r="CH510" s="51"/>
      <c r="CI510" s="51"/>
      <c r="CJ510" s="51"/>
      <c r="CK510" s="51"/>
      <c r="CL510" s="51"/>
      <c r="CM510" s="51"/>
      <c r="CN510" s="51"/>
      <c r="CO510" s="51"/>
      <c r="CP510" s="51"/>
    </row>
    <row r="511" spans="20:94" s="49" customFormat="1" ht="13" customHeight="1"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  <c r="CC511" s="51"/>
      <c r="CD511" s="51"/>
      <c r="CE511" s="51"/>
      <c r="CF511" s="51"/>
      <c r="CG511" s="51"/>
      <c r="CH511" s="51"/>
      <c r="CI511" s="51"/>
      <c r="CJ511" s="51"/>
      <c r="CK511" s="51"/>
      <c r="CL511" s="51"/>
      <c r="CM511" s="51"/>
      <c r="CN511" s="51"/>
      <c r="CO511" s="51"/>
      <c r="CP511" s="51"/>
    </row>
    <row r="512" spans="20:94" s="49" customFormat="1" ht="13" customHeight="1"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  <c r="CC512" s="51"/>
      <c r="CD512" s="51"/>
      <c r="CE512" s="51"/>
      <c r="CF512" s="51"/>
      <c r="CG512" s="51"/>
      <c r="CH512" s="51"/>
      <c r="CI512" s="51"/>
      <c r="CJ512" s="51"/>
      <c r="CK512" s="51"/>
      <c r="CL512" s="51"/>
      <c r="CM512" s="51"/>
      <c r="CN512" s="51"/>
      <c r="CO512" s="51"/>
      <c r="CP512" s="51"/>
    </row>
    <row r="513" spans="20:94" s="49" customFormat="1" ht="13" customHeight="1"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  <c r="CC513" s="51"/>
      <c r="CD513" s="51"/>
      <c r="CE513" s="51"/>
      <c r="CF513" s="51"/>
      <c r="CG513" s="51"/>
      <c r="CH513" s="51"/>
      <c r="CI513" s="51"/>
      <c r="CJ513" s="51"/>
      <c r="CK513" s="51"/>
      <c r="CL513" s="51"/>
      <c r="CM513" s="51"/>
      <c r="CN513" s="51"/>
      <c r="CO513" s="51"/>
      <c r="CP513" s="51"/>
    </row>
    <row r="514" spans="20:94" s="49" customFormat="1" ht="13" customHeight="1"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  <c r="CC514" s="51"/>
      <c r="CD514" s="51"/>
      <c r="CE514" s="51"/>
      <c r="CF514" s="51"/>
      <c r="CG514" s="51"/>
      <c r="CH514" s="51"/>
      <c r="CI514" s="51"/>
      <c r="CJ514" s="51"/>
      <c r="CK514" s="51"/>
      <c r="CL514" s="51"/>
      <c r="CM514" s="51"/>
      <c r="CN514" s="51"/>
      <c r="CO514" s="51"/>
      <c r="CP514" s="51"/>
    </row>
    <row r="515" spans="20:94" s="49" customFormat="1" ht="13" customHeight="1"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  <c r="CC515" s="51"/>
      <c r="CD515" s="51"/>
      <c r="CE515" s="51"/>
      <c r="CF515" s="51"/>
      <c r="CG515" s="51"/>
      <c r="CH515" s="51"/>
      <c r="CI515" s="51"/>
      <c r="CJ515" s="51"/>
      <c r="CK515" s="51"/>
      <c r="CL515" s="51"/>
      <c r="CM515" s="51"/>
      <c r="CN515" s="51"/>
      <c r="CO515" s="51"/>
      <c r="CP515" s="51"/>
    </row>
    <row r="516" spans="20:94" s="49" customFormat="1" ht="13" customHeight="1"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  <c r="CC516" s="51"/>
      <c r="CD516" s="51"/>
      <c r="CE516" s="51"/>
      <c r="CF516" s="51"/>
      <c r="CG516" s="51"/>
      <c r="CH516" s="51"/>
      <c r="CI516" s="51"/>
      <c r="CJ516" s="51"/>
      <c r="CK516" s="51"/>
      <c r="CL516" s="51"/>
      <c r="CM516" s="51"/>
      <c r="CN516" s="51"/>
      <c r="CO516" s="51"/>
      <c r="CP516" s="51"/>
    </row>
    <row r="517" spans="20:94" s="49" customFormat="1" ht="13" customHeight="1"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  <c r="CC517" s="51"/>
      <c r="CD517" s="51"/>
      <c r="CE517" s="51"/>
      <c r="CF517" s="51"/>
      <c r="CG517" s="51"/>
      <c r="CH517" s="51"/>
      <c r="CI517" s="51"/>
      <c r="CJ517" s="51"/>
      <c r="CK517" s="51"/>
      <c r="CL517" s="51"/>
      <c r="CM517" s="51"/>
      <c r="CN517" s="51"/>
      <c r="CO517" s="51"/>
      <c r="CP517" s="51"/>
    </row>
    <row r="518" spans="20:94" s="49" customFormat="1" ht="13" customHeight="1"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  <c r="CC518" s="51"/>
      <c r="CD518" s="51"/>
      <c r="CE518" s="51"/>
      <c r="CF518" s="51"/>
      <c r="CG518" s="51"/>
      <c r="CH518" s="51"/>
      <c r="CI518" s="51"/>
      <c r="CJ518" s="51"/>
      <c r="CK518" s="51"/>
      <c r="CL518" s="51"/>
      <c r="CM518" s="51"/>
      <c r="CN518" s="51"/>
      <c r="CO518" s="51"/>
      <c r="CP518" s="51"/>
    </row>
    <row r="519" spans="20:94" s="49" customFormat="1" ht="13" customHeight="1"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  <c r="CC519" s="51"/>
      <c r="CD519" s="51"/>
      <c r="CE519" s="51"/>
      <c r="CF519" s="51"/>
      <c r="CG519" s="51"/>
      <c r="CH519" s="51"/>
      <c r="CI519" s="51"/>
      <c r="CJ519" s="51"/>
      <c r="CK519" s="51"/>
      <c r="CL519" s="51"/>
      <c r="CM519" s="51"/>
      <c r="CN519" s="51"/>
      <c r="CO519" s="51"/>
      <c r="CP519" s="51"/>
    </row>
    <row r="520" spans="20:94" s="49" customFormat="1" ht="13" customHeight="1"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  <c r="CC520" s="51"/>
      <c r="CD520" s="51"/>
      <c r="CE520" s="51"/>
      <c r="CF520" s="51"/>
      <c r="CG520" s="51"/>
      <c r="CH520" s="51"/>
      <c r="CI520" s="51"/>
      <c r="CJ520" s="51"/>
      <c r="CK520" s="51"/>
      <c r="CL520" s="51"/>
      <c r="CM520" s="51"/>
      <c r="CN520" s="51"/>
      <c r="CO520" s="51"/>
      <c r="CP520" s="51"/>
    </row>
    <row r="521" spans="20:94" s="49" customFormat="1" ht="13" customHeight="1"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  <c r="CC521" s="51"/>
      <c r="CD521" s="51"/>
      <c r="CE521" s="51"/>
      <c r="CF521" s="51"/>
      <c r="CG521" s="51"/>
      <c r="CH521" s="51"/>
      <c r="CI521" s="51"/>
      <c r="CJ521" s="51"/>
      <c r="CK521" s="51"/>
      <c r="CL521" s="51"/>
      <c r="CM521" s="51"/>
      <c r="CN521" s="51"/>
      <c r="CO521" s="51"/>
      <c r="CP521" s="51"/>
    </row>
    <row r="522" spans="20:94" s="49" customFormat="1" ht="13" customHeight="1"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  <c r="CC522" s="51"/>
      <c r="CD522" s="51"/>
      <c r="CE522" s="51"/>
      <c r="CF522" s="51"/>
      <c r="CG522" s="51"/>
      <c r="CH522" s="51"/>
      <c r="CI522" s="51"/>
      <c r="CJ522" s="51"/>
      <c r="CK522" s="51"/>
      <c r="CL522" s="51"/>
      <c r="CM522" s="51"/>
      <c r="CN522" s="51"/>
      <c r="CO522" s="51"/>
      <c r="CP522" s="51"/>
    </row>
    <row r="523" spans="20:94" s="49" customFormat="1" ht="13" customHeight="1"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  <c r="CC523" s="51"/>
      <c r="CD523" s="51"/>
      <c r="CE523" s="51"/>
      <c r="CF523" s="51"/>
      <c r="CG523" s="51"/>
      <c r="CH523" s="51"/>
      <c r="CI523" s="51"/>
      <c r="CJ523" s="51"/>
      <c r="CK523" s="51"/>
      <c r="CL523" s="51"/>
      <c r="CM523" s="51"/>
      <c r="CN523" s="51"/>
      <c r="CO523" s="51"/>
      <c r="CP523" s="51"/>
    </row>
    <row r="524" spans="20:94" s="49" customFormat="1" ht="13" customHeight="1"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  <c r="CC524" s="51"/>
      <c r="CD524" s="51"/>
      <c r="CE524" s="51"/>
      <c r="CF524" s="51"/>
      <c r="CG524" s="51"/>
      <c r="CH524" s="51"/>
      <c r="CI524" s="51"/>
      <c r="CJ524" s="51"/>
      <c r="CK524" s="51"/>
      <c r="CL524" s="51"/>
      <c r="CM524" s="51"/>
      <c r="CN524" s="51"/>
      <c r="CO524" s="51"/>
      <c r="CP524" s="51"/>
    </row>
    <row r="525" spans="20:94" s="49" customFormat="1" ht="13" customHeight="1"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  <c r="CC525" s="51"/>
      <c r="CD525" s="51"/>
      <c r="CE525" s="51"/>
      <c r="CF525" s="51"/>
      <c r="CG525" s="51"/>
      <c r="CH525" s="51"/>
      <c r="CI525" s="51"/>
      <c r="CJ525" s="51"/>
      <c r="CK525" s="51"/>
      <c r="CL525" s="51"/>
      <c r="CM525" s="51"/>
      <c r="CN525" s="51"/>
      <c r="CO525" s="51"/>
      <c r="CP525" s="51"/>
    </row>
    <row r="526" spans="20:94" s="49" customFormat="1" ht="13" customHeight="1"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  <c r="CC526" s="51"/>
      <c r="CD526" s="51"/>
      <c r="CE526" s="51"/>
      <c r="CF526" s="51"/>
      <c r="CG526" s="51"/>
      <c r="CH526" s="51"/>
      <c r="CI526" s="51"/>
      <c r="CJ526" s="51"/>
      <c r="CK526" s="51"/>
      <c r="CL526" s="51"/>
      <c r="CM526" s="51"/>
      <c r="CN526" s="51"/>
      <c r="CO526" s="51"/>
      <c r="CP526" s="51"/>
    </row>
    <row r="527" spans="20:94" s="49" customFormat="1" ht="13" customHeight="1"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  <c r="CC527" s="51"/>
      <c r="CD527" s="51"/>
      <c r="CE527" s="51"/>
      <c r="CF527" s="51"/>
      <c r="CG527" s="51"/>
      <c r="CH527" s="51"/>
      <c r="CI527" s="51"/>
      <c r="CJ527" s="51"/>
      <c r="CK527" s="51"/>
      <c r="CL527" s="51"/>
      <c r="CM527" s="51"/>
      <c r="CN527" s="51"/>
      <c r="CO527" s="51"/>
      <c r="CP527" s="51"/>
    </row>
    <row r="528" spans="20:94" s="49" customFormat="1" ht="13" customHeight="1"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  <c r="CC528" s="51"/>
      <c r="CD528" s="51"/>
      <c r="CE528" s="51"/>
      <c r="CF528" s="51"/>
      <c r="CG528" s="51"/>
      <c r="CH528" s="51"/>
      <c r="CI528" s="51"/>
      <c r="CJ528" s="51"/>
      <c r="CK528" s="51"/>
      <c r="CL528" s="51"/>
      <c r="CM528" s="51"/>
      <c r="CN528" s="51"/>
      <c r="CO528" s="51"/>
      <c r="CP528" s="51"/>
    </row>
    <row r="529" spans="20:94" s="49" customFormat="1" ht="13" customHeight="1"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  <c r="CC529" s="51"/>
      <c r="CD529" s="51"/>
      <c r="CE529" s="51"/>
      <c r="CF529" s="51"/>
      <c r="CG529" s="51"/>
      <c r="CH529" s="51"/>
      <c r="CI529" s="51"/>
      <c r="CJ529" s="51"/>
      <c r="CK529" s="51"/>
      <c r="CL529" s="51"/>
      <c r="CM529" s="51"/>
      <c r="CN529" s="51"/>
      <c r="CO529" s="51"/>
      <c r="CP529" s="51"/>
    </row>
    <row r="530" spans="20:94" s="49" customFormat="1" ht="13" customHeight="1"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  <c r="CC530" s="51"/>
      <c r="CD530" s="51"/>
      <c r="CE530" s="51"/>
      <c r="CF530" s="51"/>
      <c r="CG530" s="51"/>
      <c r="CH530" s="51"/>
      <c r="CI530" s="51"/>
      <c r="CJ530" s="51"/>
      <c r="CK530" s="51"/>
      <c r="CL530" s="51"/>
      <c r="CM530" s="51"/>
      <c r="CN530" s="51"/>
      <c r="CO530" s="51"/>
      <c r="CP530" s="51"/>
    </row>
    <row r="531" spans="20:94" s="49" customFormat="1" ht="13" customHeight="1"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  <c r="CC531" s="51"/>
      <c r="CD531" s="51"/>
      <c r="CE531" s="51"/>
      <c r="CF531" s="51"/>
      <c r="CG531" s="51"/>
      <c r="CH531" s="51"/>
      <c r="CI531" s="51"/>
      <c r="CJ531" s="51"/>
      <c r="CK531" s="51"/>
      <c r="CL531" s="51"/>
      <c r="CM531" s="51"/>
      <c r="CN531" s="51"/>
      <c r="CO531" s="51"/>
      <c r="CP531" s="51"/>
    </row>
    <row r="532" spans="20:94" s="49" customFormat="1" ht="13" customHeight="1"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  <c r="CC532" s="51"/>
      <c r="CD532" s="51"/>
      <c r="CE532" s="51"/>
      <c r="CF532" s="51"/>
      <c r="CG532" s="51"/>
      <c r="CH532" s="51"/>
      <c r="CI532" s="51"/>
      <c r="CJ532" s="51"/>
      <c r="CK532" s="51"/>
      <c r="CL532" s="51"/>
      <c r="CM532" s="51"/>
      <c r="CN532" s="51"/>
      <c r="CO532" s="51"/>
      <c r="CP532" s="51"/>
    </row>
    <row r="533" spans="20:94" s="49" customFormat="1" ht="13" customHeight="1"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  <c r="CC533" s="51"/>
      <c r="CD533" s="51"/>
      <c r="CE533" s="51"/>
      <c r="CF533" s="51"/>
      <c r="CG533" s="51"/>
      <c r="CH533" s="51"/>
      <c r="CI533" s="51"/>
      <c r="CJ533" s="51"/>
      <c r="CK533" s="51"/>
      <c r="CL533" s="51"/>
      <c r="CM533" s="51"/>
      <c r="CN533" s="51"/>
      <c r="CO533" s="51"/>
      <c r="CP533" s="51"/>
    </row>
    <row r="534" spans="20:94" s="49" customFormat="1" ht="13" customHeight="1"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  <c r="CC534" s="51"/>
      <c r="CD534" s="51"/>
      <c r="CE534" s="51"/>
      <c r="CF534" s="51"/>
      <c r="CG534" s="51"/>
      <c r="CH534" s="51"/>
      <c r="CI534" s="51"/>
      <c r="CJ534" s="51"/>
      <c r="CK534" s="51"/>
      <c r="CL534" s="51"/>
      <c r="CM534" s="51"/>
      <c r="CN534" s="51"/>
      <c r="CO534" s="51"/>
      <c r="CP534" s="51"/>
    </row>
    <row r="535" spans="20:94" s="49" customFormat="1" ht="13" customHeight="1"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  <c r="CC535" s="51"/>
      <c r="CD535" s="51"/>
      <c r="CE535" s="51"/>
      <c r="CF535" s="51"/>
      <c r="CG535" s="51"/>
      <c r="CH535" s="51"/>
      <c r="CI535" s="51"/>
      <c r="CJ535" s="51"/>
      <c r="CK535" s="51"/>
      <c r="CL535" s="51"/>
      <c r="CM535" s="51"/>
      <c r="CN535" s="51"/>
      <c r="CO535" s="51"/>
      <c r="CP535" s="51"/>
    </row>
    <row r="536" spans="20:94" s="49" customFormat="1" ht="13" customHeight="1"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  <c r="CC536" s="51"/>
      <c r="CD536" s="51"/>
      <c r="CE536" s="51"/>
      <c r="CF536" s="51"/>
      <c r="CG536" s="51"/>
      <c r="CH536" s="51"/>
      <c r="CI536" s="51"/>
      <c r="CJ536" s="51"/>
      <c r="CK536" s="51"/>
      <c r="CL536" s="51"/>
      <c r="CM536" s="51"/>
      <c r="CN536" s="51"/>
      <c r="CO536" s="51"/>
      <c r="CP536" s="51"/>
    </row>
    <row r="537" spans="20:94" s="49" customFormat="1" ht="13" customHeight="1"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  <c r="CC537" s="51"/>
      <c r="CD537" s="51"/>
      <c r="CE537" s="51"/>
      <c r="CF537" s="51"/>
      <c r="CG537" s="51"/>
      <c r="CH537" s="51"/>
      <c r="CI537" s="51"/>
      <c r="CJ537" s="51"/>
      <c r="CK537" s="51"/>
      <c r="CL537" s="51"/>
      <c r="CM537" s="51"/>
      <c r="CN537" s="51"/>
      <c r="CO537" s="51"/>
      <c r="CP537" s="51"/>
    </row>
    <row r="538" spans="20:94" s="49" customFormat="1" ht="13" customHeight="1"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  <c r="CC538" s="51"/>
      <c r="CD538" s="51"/>
      <c r="CE538" s="51"/>
      <c r="CF538" s="51"/>
      <c r="CG538" s="51"/>
      <c r="CH538" s="51"/>
      <c r="CI538" s="51"/>
      <c r="CJ538" s="51"/>
      <c r="CK538" s="51"/>
      <c r="CL538" s="51"/>
      <c r="CM538" s="51"/>
      <c r="CN538" s="51"/>
      <c r="CO538" s="51"/>
      <c r="CP538" s="51"/>
    </row>
    <row r="539" spans="20:94" s="49" customFormat="1" ht="13" customHeight="1"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  <c r="CC539" s="51"/>
      <c r="CD539" s="51"/>
      <c r="CE539" s="51"/>
      <c r="CF539" s="51"/>
      <c r="CG539" s="51"/>
      <c r="CH539" s="51"/>
      <c r="CI539" s="51"/>
      <c r="CJ539" s="51"/>
      <c r="CK539" s="51"/>
      <c r="CL539" s="51"/>
      <c r="CM539" s="51"/>
      <c r="CN539" s="51"/>
      <c r="CO539" s="51"/>
      <c r="CP539" s="51"/>
    </row>
    <row r="540" spans="20:94" s="49" customFormat="1" ht="13" customHeight="1"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  <c r="CC540" s="51"/>
      <c r="CD540" s="51"/>
      <c r="CE540" s="51"/>
      <c r="CF540" s="51"/>
      <c r="CG540" s="51"/>
      <c r="CH540" s="51"/>
      <c r="CI540" s="51"/>
      <c r="CJ540" s="51"/>
      <c r="CK540" s="51"/>
      <c r="CL540" s="51"/>
      <c r="CM540" s="51"/>
      <c r="CN540" s="51"/>
      <c r="CO540" s="51"/>
      <c r="CP540" s="51"/>
    </row>
    <row r="541" spans="20:94" s="49" customFormat="1" ht="13" customHeight="1"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  <c r="CC541" s="51"/>
      <c r="CD541" s="51"/>
      <c r="CE541" s="51"/>
      <c r="CF541" s="51"/>
      <c r="CG541" s="51"/>
      <c r="CH541" s="51"/>
      <c r="CI541" s="51"/>
      <c r="CJ541" s="51"/>
      <c r="CK541" s="51"/>
      <c r="CL541" s="51"/>
      <c r="CM541" s="51"/>
      <c r="CN541" s="51"/>
      <c r="CO541" s="51"/>
      <c r="CP541" s="51"/>
    </row>
    <row r="542" spans="20:94" s="49" customFormat="1" ht="13" customHeight="1"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  <c r="CC542" s="51"/>
      <c r="CD542" s="51"/>
      <c r="CE542" s="51"/>
      <c r="CF542" s="51"/>
      <c r="CG542" s="51"/>
      <c r="CH542" s="51"/>
      <c r="CI542" s="51"/>
      <c r="CJ542" s="51"/>
      <c r="CK542" s="51"/>
      <c r="CL542" s="51"/>
      <c r="CM542" s="51"/>
      <c r="CN542" s="51"/>
      <c r="CO542" s="51"/>
      <c r="CP542" s="51"/>
    </row>
    <row r="543" spans="20:94" s="49" customFormat="1" ht="13" customHeight="1"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  <c r="CC543" s="51"/>
      <c r="CD543" s="51"/>
      <c r="CE543" s="51"/>
      <c r="CF543" s="51"/>
      <c r="CG543" s="51"/>
      <c r="CH543" s="51"/>
      <c r="CI543" s="51"/>
      <c r="CJ543" s="51"/>
      <c r="CK543" s="51"/>
      <c r="CL543" s="51"/>
      <c r="CM543" s="51"/>
      <c r="CN543" s="51"/>
      <c r="CO543" s="51"/>
      <c r="CP543" s="51"/>
    </row>
    <row r="544" spans="20:94" s="49" customFormat="1" ht="13" customHeight="1"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  <c r="CC544" s="51"/>
      <c r="CD544" s="51"/>
      <c r="CE544" s="51"/>
      <c r="CF544" s="51"/>
      <c r="CG544" s="51"/>
      <c r="CH544" s="51"/>
      <c r="CI544" s="51"/>
      <c r="CJ544" s="51"/>
      <c r="CK544" s="51"/>
      <c r="CL544" s="51"/>
      <c r="CM544" s="51"/>
      <c r="CN544" s="51"/>
      <c r="CO544" s="51"/>
      <c r="CP544" s="51"/>
    </row>
    <row r="545" spans="20:94" s="49" customFormat="1" ht="13" customHeight="1"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  <c r="CC545" s="51"/>
      <c r="CD545" s="51"/>
      <c r="CE545" s="51"/>
      <c r="CF545" s="51"/>
      <c r="CG545" s="51"/>
      <c r="CH545" s="51"/>
      <c r="CI545" s="51"/>
      <c r="CJ545" s="51"/>
      <c r="CK545" s="51"/>
      <c r="CL545" s="51"/>
      <c r="CM545" s="51"/>
      <c r="CN545" s="51"/>
      <c r="CO545" s="51"/>
      <c r="CP545" s="51"/>
    </row>
    <row r="546" spans="20:94" s="49" customFormat="1" ht="13" customHeight="1"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  <c r="CC546" s="51"/>
      <c r="CD546" s="51"/>
      <c r="CE546" s="51"/>
      <c r="CF546" s="51"/>
      <c r="CG546" s="51"/>
      <c r="CH546" s="51"/>
      <c r="CI546" s="51"/>
      <c r="CJ546" s="51"/>
      <c r="CK546" s="51"/>
      <c r="CL546" s="51"/>
      <c r="CM546" s="51"/>
      <c r="CN546" s="51"/>
      <c r="CO546" s="51"/>
      <c r="CP546" s="51"/>
    </row>
    <row r="547" spans="20:94" s="49" customFormat="1" ht="13" customHeight="1"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  <c r="CC547" s="51"/>
      <c r="CD547" s="51"/>
      <c r="CE547" s="51"/>
      <c r="CF547" s="51"/>
      <c r="CG547" s="51"/>
      <c r="CH547" s="51"/>
      <c r="CI547" s="51"/>
      <c r="CJ547" s="51"/>
      <c r="CK547" s="51"/>
      <c r="CL547" s="51"/>
      <c r="CM547" s="51"/>
      <c r="CN547" s="51"/>
      <c r="CO547" s="51"/>
      <c r="CP547" s="51"/>
    </row>
    <row r="548" spans="20:94" s="49" customFormat="1" ht="13" customHeight="1"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  <c r="CC548" s="51"/>
      <c r="CD548" s="51"/>
      <c r="CE548" s="51"/>
      <c r="CF548" s="51"/>
      <c r="CG548" s="51"/>
      <c r="CH548" s="51"/>
      <c r="CI548" s="51"/>
      <c r="CJ548" s="51"/>
      <c r="CK548" s="51"/>
      <c r="CL548" s="51"/>
      <c r="CM548" s="51"/>
      <c r="CN548" s="51"/>
      <c r="CO548" s="51"/>
      <c r="CP548" s="51"/>
    </row>
    <row r="549" spans="20:94" s="49" customFormat="1" ht="13" customHeight="1"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  <c r="CC549" s="51"/>
      <c r="CD549" s="51"/>
      <c r="CE549" s="51"/>
      <c r="CF549" s="51"/>
      <c r="CG549" s="51"/>
      <c r="CH549" s="51"/>
      <c r="CI549" s="51"/>
      <c r="CJ549" s="51"/>
      <c r="CK549" s="51"/>
      <c r="CL549" s="51"/>
      <c r="CM549" s="51"/>
      <c r="CN549" s="51"/>
      <c r="CO549" s="51"/>
      <c r="CP549" s="51"/>
    </row>
    <row r="550" spans="20:94" s="49" customFormat="1" ht="13" customHeight="1"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  <c r="CC550" s="51"/>
      <c r="CD550" s="51"/>
      <c r="CE550" s="51"/>
      <c r="CF550" s="51"/>
      <c r="CG550" s="51"/>
      <c r="CH550" s="51"/>
      <c r="CI550" s="51"/>
      <c r="CJ550" s="51"/>
      <c r="CK550" s="51"/>
      <c r="CL550" s="51"/>
      <c r="CM550" s="51"/>
      <c r="CN550" s="51"/>
      <c r="CO550" s="51"/>
      <c r="CP550" s="51"/>
    </row>
    <row r="551" spans="20:94" s="49" customFormat="1" ht="13" customHeight="1"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  <c r="CC551" s="51"/>
      <c r="CD551" s="51"/>
      <c r="CE551" s="51"/>
      <c r="CF551" s="51"/>
      <c r="CG551" s="51"/>
      <c r="CH551" s="51"/>
      <c r="CI551" s="51"/>
      <c r="CJ551" s="51"/>
      <c r="CK551" s="51"/>
      <c r="CL551" s="51"/>
      <c r="CM551" s="51"/>
      <c r="CN551" s="51"/>
      <c r="CO551" s="51"/>
      <c r="CP551" s="51"/>
    </row>
    <row r="552" spans="20:94" s="49" customFormat="1" ht="13" customHeight="1"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  <c r="CC552" s="51"/>
      <c r="CD552" s="51"/>
      <c r="CE552" s="51"/>
      <c r="CF552" s="51"/>
      <c r="CG552" s="51"/>
      <c r="CH552" s="51"/>
      <c r="CI552" s="51"/>
      <c r="CJ552" s="51"/>
      <c r="CK552" s="51"/>
      <c r="CL552" s="51"/>
      <c r="CM552" s="51"/>
      <c r="CN552" s="51"/>
      <c r="CO552" s="51"/>
      <c r="CP552" s="51"/>
    </row>
    <row r="553" spans="20:94" s="49" customFormat="1" ht="13" customHeight="1"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  <c r="CC553" s="51"/>
      <c r="CD553" s="51"/>
      <c r="CE553" s="51"/>
      <c r="CF553" s="51"/>
      <c r="CG553" s="51"/>
      <c r="CH553" s="51"/>
      <c r="CI553" s="51"/>
      <c r="CJ553" s="51"/>
      <c r="CK553" s="51"/>
      <c r="CL553" s="51"/>
      <c r="CM553" s="51"/>
      <c r="CN553" s="51"/>
      <c r="CO553" s="51"/>
      <c r="CP553" s="51"/>
    </row>
    <row r="554" spans="20:94" s="49" customFormat="1" ht="13" customHeight="1"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  <c r="CC554" s="51"/>
      <c r="CD554" s="51"/>
      <c r="CE554" s="51"/>
      <c r="CF554" s="51"/>
      <c r="CG554" s="51"/>
      <c r="CH554" s="51"/>
      <c r="CI554" s="51"/>
      <c r="CJ554" s="51"/>
      <c r="CK554" s="51"/>
      <c r="CL554" s="51"/>
      <c r="CM554" s="51"/>
      <c r="CN554" s="51"/>
      <c r="CO554" s="51"/>
      <c r="CP554" s="51"/>
    </row>
    <row r="555" spans="20:94" s="49" customFormat="1" ht="13" customHeight="1"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  <c r="CC555" s="51"/>
      <c r="CD555" s="51"/>
      <c r="CE555" s="51"/>
      <c r="CF555" s="51"/>
      <c r="CG555" s="51"/>
      <c r="CH555" s="51"/>
      <c r="CI555" s="51"/>
      <c r="CJ555" s="51"/>
      <c r="CK555" s="51"/>
      <c r="CL555" s="51"/>
      <c r="CM555" s="51"/>
      <c r="CN555" s="51"/>
      <c r="CO555" s="51"/>
      <c r="CP555" s="51"/>
    </row>
    <row r="556" spans="20:94" s="49" customFormat="1" ht="13" customHeight="1"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  <c r="CC556" s="51"/>
      <c r="CD556" s="51"/>
      <c r="CE556" s="51"/>
      <c r="CF556" s="51"/>
      <c r="CG556" s="51"/>
      <c r="CH556" s="51"/>
      <c r="CI556" s="51"/>
      <c r="CJ556" s="51"/>
      <c r="CK556" s="51"/>
      <c r="CL556" s="51"/>
      <c r="CM556" s="51"/>
      <c r="CN556" s="51"/>
      <c r="CO556" s="51"/>
      <c r="CP556" s="51"/>
    </row>
    <row r="557" spans="20:94" s="49" customFormat="1" ht="13" customHeight="1"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  <c r="CC557" s="51"/>
      <c r="CD557" s="51"/>
      <c r="CE557" s="51"/>
      <c r="CF557" s="51"/>
      <c r="CG557" s="51"/>
      <c r="CH557" s="51"/>
      <c r="CI557" s="51"/>
      <c r="CJ557" s="51"/>
      <c r="CK557" s="51"/>
      <c r="CL557" s="51"/>
      <c r="CM557" s="51"/>
      <c r="CN557" s="51"/>
      <c r="CO557" s="51"/>
      <c r="CP557" s="51"/>
    </row>
    <row r="558" spans="20:94" s="49" customFormat="1" ht="13" customHeight="1"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  <c r="CC558" s="51"/>
      <c r="CD558" s="51"/>
      <c r="CE558" s="51"/>
      <c r="CF558" s="51"/>
      <c r="CG558" s="51"/>
      <c r="CH558" s="51"/>
      <c r="CI558" s="51"/>
      <c r="CJ558" s="51"/>
      <c r="CK558" s="51"/>
      <c r="CL558" s="51"/>
      <c r="CM558" s="51"/>
      <c r="CN558" s="51"/>
      <c r="CO558" s="51"/>
      <c r="CP558" s="51"/>
    </row>
    <row r="559" spans="20:94" s="49" customFormat="1" ht="13" customHeight="1"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  <c r="CC559" s="51"/>
      <c r="CD559" s="51"/>
      <c r="CE559" s="51"/>
      <c r="CF559" s="51"/>
      <c r="CG559" s="51"/>
      <c r="CH559" s="51"/>
      <c r="CI559" s="51"/>
      <c r="CJ559" s="51"/>
      <c r="CK559" s="51"/>
      <c r="CL559" s="51"/>
      <c r="CM559" s="51"/>
      <c r="CN559" s="51"/>
      <c r="CO559" s="51"/>
      <c r="CP559" s="51"/>
    </row>
    <row r="560" spans="20:94" s="49" customFormat="1" ht="13" customHeight="1"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  <c r="CC560" s="51"/>
      <c r="CD560" s="51"/>
      <c r="CE560" s="51"/>
      <c r="CF560" s="51"/>
      <c r="CG560" s="51"/>
      <c r="CH560" s="51"/>
      <c r="CI560" s="51"/>
      <c r="CJ560" s="51"/>
      <c r="CK560" s="51"/>
      <c r="CL560" s="51"/>
      <c r="CM560" s="51"/>
      <c r="CN560" s="51"/>
      <c r="CO560" s="51"/>
      <c r="CP560" s="51"/>
    </row>
    <row r="561" spans="20:94" s="49" customFormat="1" ht="13" customHeight="1"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  <c r="CC561" s="51"/>
      <c r="CD561" s="51"/>
      <c r="CE561" s="51"/>
      <c r="CF561" s="51"/>
      <c r="CG561" s="51"/>
      <c r="CH561" s="51"/>
      <c r="CI561" s="51"/>
      <c r="CJ561" s="51"/>
      <c r="CK561" s="51"/>
      <c r="CL561" s="51"/>
      <c r="CM561" s="51"/>
      <c r="CN561" s="51"/>
      <c r="CO561" s="51"/>
      <c r="CP561" s="51"/>
    </row>
    <row r="562" spans="20:94" s="49" customFormat="1" ht="13" customHeight="1"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  <c r="CC562" s="51"/>
      <c r="CD562" s="51"/>
      <c r="CE562" s="51"/>
      <c r="CF562" s="51"/>
      <c r="CG562" s="51"/>
      <c r="CH562" s="51"/>
      <c r="CI562" s="51"/>
      <c r="CJ562" s="51"/>
      <c r="CK562" s="51"/>
      <c r="CL562" s="51"/>
      <c r="CM562" s="51"/>
      <c r="CN562" s="51"/>
      <c r="CO562" s="51"/>
      <c r="CP562" s="51"/>
    </row>
    <row r="563" spans="20:94" s="49" customFormat="1" ht="13" customHeight="1"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  <c r="CC563" s="51"/>
      <c r="CD563" s="51"/>
      <c r="CE563" s="51"/>
      <c r="CF563" s="51"/>
      <c r="CG563" s="51"/>
      <c r="CH563" s="51"/>
      <c r="CI563" s="51"/>
      <c r="CJ563" s="51"/>
      <c r="CK563" s="51"/>
      <c r="CL563" s="51"/>
      <c r="CM563" s="51"/>
      <c r="CN563" s="51"/>
      <c r="CO563" s="51"/>
      <c r="CP563" s="51"/>
    </row>
    <row r="564" spans="20:94" s="49" customFormat="1" ht="13" customHeight="1"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  <c r="CC564" s="51"/>
      <c r="CD564" s="51"/>
      <c r="CE564" s="51"/>
      <c r="CF564" s="51"/>
      <c r="CG564" s="51"/>
      <c r="CH564" s="51"/>
      <c r="CI564" s="51"/>
      <c r="CJ564" s="51"/>
      <c r="CK564" s="51"/>
      <c r="CL564" s="51"/>
      <c r="CM564" s="51"/>
      <c r="CN564" s="51"/>
      <c r="CO564" s="51"/>
      <c r="CP564" s="51"/>
    </row>
    <row r="565" spans="20:94" s="49" customFormat="1" ht="13" customHeight="1"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  <c r="CC565" s="51"/>
      <c r="CD565" s="51"/>
      <c r="CE565" s="51"/>
      <c r="CF565" s="51"/>
      <c r="CG565" s="51"/>
      <c r="CH565" s="51"/>
      <c r="CI565" s="51"/>
      <c r="CJ565" s="51"/>
      <c r="CK565" s="51"/>
      <c r="CL565" s="51"/>
      <c r="CM565" s="51"/>
      <c r="CN565" s="51"/>
      <c r="CO565" s="51"/>
      <c r="CP565" s="51"/>
    </row>
    <row r="566" spans="20:94" s="49" customFormat="1" ht="13" customHeight="1"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  <c r="CC566" s="51"/>
      <c r="CD566" s="51"/>
      <c r="CE566" s="51"/>
      <c r="CF566" s="51"/>
      <c r="CG566" s="51"/>
      <c r="CH566" s="51"/>
      <c r="CI566" s="51"/>
      <c r="CJ566" s="51"/>
      <c r="CK566" s="51"/>
      <c r="CL566" s="51"/>
      <c r="CM566" s="51"/>
      <c r="CN566" s="51"/>
      <c r="CO566" s="51"/>
      <c r="CP566" s="51"/>
    </row>
    <row r="567" spans="20:94" s="49" customFormat="1" ht="13" customHeight="1"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  <c r="CC567" s="51"/>
      <c r="CD567" s="51"/>
      <c r="CE567" s="51"/>
      <c r="CF567" s="51"/>
      <c r="CG567" s="51"/>
      <c r="CH567" s="51"/>
      <c r="CI567" s="51"/>
      <c r="CJ567" s="51"/>
      <c r="CK567" s="51"/>
      <c r="CL567" s="51"/>
      <c r="CM567" s="51"/>
      <c r="CN567" s="51"/>
      <c r="CO567" s="51"/>
      <c r="CP567" s="51"/>
    </row>
    <row r="568" spans="20:94" s="49" customFormat="1" ht="13" customHeight="1"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  <c r="CC568" s="51"/>
      <c r="CD568" s="51"/>
      <c r="CE568" s="51"/>
      <c r="CF568" s="51"/>
      <c r="CG568" s="51"/>
      <c r="CH568" s="51"/>
      <c r="CI568" s="51"/>
      <c r="CJ568" s="51"/>
      <c r="CK568" s="51"/>
      <c r="CL568" s="51"/>
      <c r="CM568" s="51"/>
      <c r="CN568" s="51"/>
      <c r="CO568" s="51"/>
      <c r="CP568" s="51"/>
    </row>
    <row r="569" spans="20:94" s="49" customFormat="1" ht="13" customHeight="1"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  <c r="CC569" s="51"/>
      <c r="CD569" s="51"/>
      <c r="CE569" s="51"/>
      <c r="CF569" s="51"/>
      <c r="CG569" s="51"/>
      <c r="CH569" s="51"/>
      <c r="CI569" s="51"/>
      <c r="CJ569" s="51"/>
      <c r="CK569" s="51"/>
      <c r="CL569" s="51"/>
      <c r="CM569" s="51"/>
      <c r="CN569" s="51"/>
      <c r="CO569" s="51"/>
      <c r="CP569" s="51"/>
    </row>
    <row r="570" spans="20:94" s="49" customFormat="1" ht="13" customHeight="1"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  <c r="CC570" s="51"/>
      <c r="CD570" s="51"/>
      <c r="CE570" s="51"/>
      <c r="CF570" s="51"/>
      <c r="CG570" s="51"/>
      <c r="CH570" s="51"/>
      <c r="CI570" s="51"/>
      <c r="CJ570" s="51"/>
      <c r="CK570" s="51"/>
      <c r="CL570" s="51"/>
      <c r="CM570" s="51"/>
      <c r="CN570" s="51"/>
      <c r="CO570" s="51"/>
      <c r="CP570" s="51"/>
    </row>
    <row r="571" spans="20:94" s="49" customFormat="1" ht="13" customHeight="1"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  <c r="CC571" s="51"/>
      <c r="CD571" s="51"/>
      <c r="CE571" s="51"/>
      <c r="CF571" s="51"/>
      <c r="CG571" s="51"/>
      <c r="CH571" s="51"/>
      <c r="CI571" s="51"/>
      <c r="CJ571" s="51"/>
      <c r="CK571" s="51"/>
      <c r="CL571" s="51"/>
      <c r="CM571" s="51"/>
      <c r="CN571" s="51"/>
      <c r="CO571" s="51"/>
      <c r="CP571" s="51"/>
    </row>
    <row r="572" spans="20:94" s="49" customFormat="1" ht="13" customHeight="1"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  <c r="CC572" s="51"/>
      <c r="CD572" s="51"/>
      <c r="CE572" s="51"/>
      <c r="CF572" s="51"/>
      <c r="CG572" s="51"/>
      <c r="CH572" s="51"/>
      <c r="CI572" s="51"/>
      <c r="CJ572" s="51"/>
      <c r="CK572" s="51"/>
      <c r="CL572" s="51"/>
      <c r="CM572" s="51"/>
      <c r="CN572" s="51"/>
      <c r="CO572" s="51"/>
      <c r="CP572" s="51"/>
    </row>
    <row r="573" spans="20:94" s="49" customFormat="1" ht="13" customHeight="1"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  <c r="CC573" s="51"/>
      <c r="CD573" s="51"/>
      <c r="CE573" s="51"/>
      <c r="CF573" s="51"/>
      <c r="CG573" s="51"/>
      <c r="CH573" s="51"/>
      <c r="CI573" s="51"/>
      <c r="CJ573" s="51"/>
      <c r="CK573" s="51"/>
      <c r="CL573" s="51"/>
      <c r="CM573" s="51"/>
      <c r="CN573" s="51"/>
      <c r="CO573" s="51"/>
      <c r="CP573" s="51"/>
    </row>
    <row r="574" spans="20:94" s="49" customFormat="1" ht="13" customHeight="1"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  <c r="CC574" s="51"/>
      <c r="CD574" s="51"/>
      <c r="CE574" s="51"/>
      <c r="CF574" s="51"/>
      <c r="CG574" s="51"/>
      <c r="CH574" s="51"/>
      <c r="CI574" s="51"/>
      <c r="CJ574" s="51"/>
      <c r="CK574" s="51"/>
      <c r="CL574" s="51"/>
      <c r="CM574" s="51"/>
      <c r="CN574" s="51"/>
      <c r="CO574" s="51"/>
      <c r="CP574" s="51"/>
    </row>
    <row r="575" spans="20:94" s="49" customFormat="1" ht="13" customHeight="1"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  <c r="CC575" s="51"/>
      <c r="CD575" s="51"/>
      <c r="CE575" s="51"/>
      <c r="CF575" s="51"/>
      <c r="CG575" s="51"/>
      <c r="CH575" s="51"/>
      <c r="CI575" s="51"/>
      <c r="CJ575" s="51"/>
      <c r="CK575" s="51"/>
      <c r="CL575" s="51"/>
      <c r="CM575" s="51"/>
      <c r="CN575" s="51"/>
      <c r="CO575" s="51"/>
      <c r="CP575" s="51"/>
    </row>
    <row r="576" spans="20:94" s="49" customFormat="1" ht="13" customHeight="1"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  <c r="CC576" s="51"/>
      <c r="CD576" s="51"/>
      <c r="CE576" s="51"/>
      <c r="CF576" s="51"/>
      <c r="CG576" s="51"/>
      <c r="CH576" s="51"/>
      <c r="CI576" s="51"/>
      <c r="CJ576" s="51"/>
      <c r="CK576" s="51"/>
      <c r="CL576" s="51"/>
      <c r="CM576" s="51"/>
      <c r="CN576" s="51"/>
      <c r="CO576" s="51"/>
      <c r="CP576" s="51"/>
    </row>
    <row r="577" spans="20:94" s="49" customFormat="1" ht="13" customHeight="1"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  <c r="CC577" s="51"/>
      <c r="CD577" s="51"/>
      <c r="CE577" s="51"/>
      <c r="CF577" s="51"/>
      <c r="CG577" s="51"/>
      <c r="CH577" s="51"/>
      <c r="CI577" s="51"/>
      <c r="CJ577" s="51"/>
      <c r="CK577" s="51"/>
      <c r="CL577" s="51"/>
      <c r="CM577" s="51"/>
      <c r="CN577" s="51"/>
      <c r="CO577" s="51"/>
      <c r="CP577" s="51"/>
    </row>
    <row r="578" spans="20:94" s="49" customFormat="1" ht="13" customHeight="1"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  <c r="CC578" s="51"/>
      <c r="CD578" s="51"/>
      <c r="CE578" s="51"/>
      <c r="CF578" s="51"/>
      <c r="CG578" s="51"/>
      <c r="CH578" s="51"/>
      <c r="CI578" s="51"/>
      <c r="CJ578" s="51"/>
      <c r="CK578" s="51"/>
      <c r="CL578" s="51"/>
      <c r="CM578" s="51"/>
      <c r="CN578" s="51"/>
      <c r="CO578" s="51"/>
      <c r="CP578" s="51"/>
    </row>
    <row r="579" spans="20:94" s="49" customFormat="1" ht="13" customHeight="1"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  <c r="CC579" s="51"/>
      <c r="CD579" s="51"/>
      <c r="CE579" s="51"/>
      <c r="CF579" s="51"/>
      <c r="CG579" s="51"/>
      <c r="CH579" s="51"/>
      <c r="CI579" s="51"/>
      <c r="CJ579" s="51"/>
      <c r="CK579" s="51"/>
      <c r="CL579" s="51"/>
      <c r="CM579" s="51"/>
      <c r="CN579" s="51"/>
      <c r="CO579" s="51"/>
      <c r="CP579" s="51"/>
    </row>
    <row r="580" spans="20:94" s="49" customFormat="1" ht="13" customHeight="1"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  <c r="CC580" s="51"/>
      <c r="CD580" s="51"/>
      <c r="CE580" s="51"/>
      <c r="CF580" s="51"/>
      <c r="CG580" s="51"/>
      <c r="CH580" s="51"/>
      <c r="CI580" s="51"/>
      <c r="CJ580" s="51"/>
      <c r="CK580" s="51"/>
      <c r="CL580" s="51"/>
      <c r="CM580" s="51"/>
      <c r="CN580" s="51"/>
      <c r="CO580" s="51"/>
      <c r="CP580" s="51"/>
    </row>
    <row r="581" spans="20:94" s="49" customFormat="1" ht="13" customHeight="1"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  <c r="CC581" s="51"/>
      <c r="CD581" s="51"/>
      <c r="CE581" s="51"/>
      <c r="CF581" s="51"/>
      <c r="CG581" s="51"/>
      <c r="CH581" s="51"/>
      <c r="CI581" s="51"/>
      <c r="CJ581" s="51"/>
      <c r="CK581" s="51"/>
      <c r="CL581" s="51"/>
      <c r="CM581" s="51"/>
      <c r="CN581" s="51"/>
      <c r="CO581" s="51"/>
      <c r="CP581" s="51"/>
    </row>
    <row r="582" spans="20:94" s="49" customFormat="1" ht="13" customHeight="1"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  <c r="CC582" s="51"/>
      <c r="CD582" s="51"/>
      <c r="CE582" s="51"/>
      <c r="CF582" s="51"/>
      <c r="CG582" s="51"/>
      <c r="CH582" s="51"/>
      <c r="CI582" s="51"/>
      <c r="CJ582" s="51"/>
      <c r="CK582" s="51"/>
      <c r="CL582" s="51"/>
      <c r="CM582" s="51"/>
      <c r="CN582" s="51"/>
      <c r="CO582" s="51"/>
      <c r="CP582" s="51"/>
    </row>
    <row r="583" spans="20:94" s="49" customFormat="1" ht="13" customHeight="1"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  <c r="CC583" s="51"/>
      <c r="CD583" s="51"/>
      <c r="CE583" s="51"/>
      <c r="CF583" s="51"/>
      <c r="CG583" s="51"/>
      <c r="CH583" s="51"/>
      <c r="CI583" s="51"/>
      <c r="CJ583" s="51"/>
      <c r="CK583" s="51"/>
      <c r="CL583" s="51"/>
      <c r="CM583" s="51"/>
      <c r="CN583" s="51"/>
      <c r="CO583" s="51"/>
      <c r="CP583" s="51"/>
    </row>
    <row r="584" spans="20:94" s="49" customFormat="1" ht="13" customHeight="1"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  <c r="CC584" s="51"/>
      <c r="CD584" s="51"/>
      <c r="CE584" s="51"/>
      <c r="CF584" s="51"/>
      <c r="CG584" s="51"/>
      <c r="CH584" s="51"/>
      <c r="CI584" s="51"/>
      <c r="CJ584" s="51"/>
      <c r="CK584" s="51"/>
      <c r="CL584" s="51"/>
      <c r="CM584" s="51"/>
      <c r="CN584" s="51"/>
      <c r="CO584" s="51"/>
      <c r="CP584" s="51"/>
    </row>
    <row r="585" spans="20:94" s="49" customFormat="1" ht="13" customHeight="1"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  <c r="CC585" s="51"/>
      <c r="CD585" s="51"/>
      <c r="CE585" s="51"/>
      <c r="CF585" s="51"/>
      <c r="CG585" s="51"/>
      <c r="CH585" s="51"/>
      <c r="CI585" s="51"/>
      <c r="CJ585" s="51"/>
      <c r="CK585" s="51"/>
      <c r="CL585" s="51"/>
      <c r="CM585" s="51"/>
      <c r="CN585" s="51"/>
      <c r="CO585" s="51"/>
      <c r="CP585" s="51"/>
    </row>
    <row r="586" spans="20:94" s="49" customFormat="1" ht="13" customHeight="1"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  <c r="CC586" s="51"/>
      <c r="CD586" s="51"/>
      <c r="CE586" s="51"/>
      <c r="CF586" s="51"/>
      <c r="CG586" s="51"/>
      <c r="CH586" s="51"/>
      <c r="CI586" s="51"/>
      <c r="CJ586" s="51"/>
      <c r="CK586" s="51"/>
      <c r="CL586" s="51"/>
      <c r="CM586" s="51"/>
      <c r="CN586" s="51"/>
      <c r="CO586" s="51"/>
      <c r="CP586" s="51"/>
    </row>
    <row r="587" spans="20:94" s="49" customFormat="1" ht="13" customHeight="1"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  <c r="CC587" s="51"/>
      <c r="CD587" s="51"/>
      <c r="CE587" s="51"/>
      <c r="CF587" s="51"/>
      <c r="CG587" s="51"/>
      <c r="CH587" s="51"/>
      <c r="CI587" s="51"/>
      <c r="CJ587" s="51"/>
      <c r="CK587" s="51"/>
      <c r="CL587" s="51"/>
      <c r="CM587" s="51"/>
      <c r="CN587" s="51"/>
      <c r="CO587" s="51"/>
      <c r="CP587" s="51"/>
    </row>
    <row r="588" spans="20:94" s="49" customFormat="1" ht="13" customHeight="1"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  <c r="CC588" s="51"/>
      <c r="CD588" s="51"/>
      <c r="CE588" s="51"/>
      <c r="CF588" s="51"/>
      <c r="CG588" s="51"/>
      <c r="CH588" s="51"/>
      <c r="CI588" s="51"/>
      <c r="CJ588" s="51"/>
      <c r="CK588" s="51"/>
      <c r="CL588" s="51"/>
      <c r="CM588" s="51"/>
      <c r="CN588" s="51"/>
      <c r="CO588" s="51"/>
      <c r="CP588" s="51"/>
    </row>
    <row r="589" spans="20:94" s="49" customFormat="1" ht="13" customHeight="1"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  <c r="CC589" s="51"/>
      <c r="CD589" s="51"/>
      <c r="CE589" s="51"/>
      <c r="CF589" s="51"/>
      <c r="CG589" s="51"/>
      <c r="CH589" s="51"/>
      <c r="CI589" s="51"/>
      <c r="CJ589" s="51"/>
      <c r="CK589" s="51"/>
      <c r="CL589" s="51"/>
      <c r="CM589" s="51"/>
      <c r="CN589" s="51"/>
      <c r="CO589" s="51"/>
      <c r="CP589" s="51"/>
    </row>
    <row r="590" spans="20:94" s="49" customFormat="1" ht="13" customHeight="1"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  <c r="CC590" s="51"/>
      <c r="CD590" s="51"/>
      <c r="CE590" s="51"/>
      <c r="CF590" s="51"/>
      <c r="CG590" s="51"/>
      <c r="CH590" s="51"/>
      <c r="CI590" s="51"/>
      <c r="CJ590" s="51"/>
      <c r="CK590" s="51"/>
      <c r="CL590" s="51"/>
      <c r="CM590" s="51"/>
      <c r="CN590" s="51"/>
      <c r="CO590" s="51"/>
      <c r="CP590" s="51"/>
    </row>
    <row r="591" spans="20:94" s="49" customFormat="1" ht="13" customHeight="1"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  <c r="CC591" s="51"/>
      <c r="CD591" s="51"/>
      <c r="CE591" s="51"/>
      <c r="CF591" s="51"/>
      <c r="CG591" s="51"/>
      <c r="CH591" s="51"/>
      <c r="CI591" s="51"/>
      <c r="CJ591" s="51"/>
      <c r="CK591" s="51"/>
      <c r="CL591" s="51"/>
      <c r="CM591" s="51"/>
      <c r="CN591" s="51"/>
      <c r="CO591" s="51"/>
      <c r="CP591" s="51"/>
    </row>
    <row r="592" spans="20:94" s="49" customFormat="1" ht="13" customHeight="1"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  <c r="CC592" s="51"/>
      <c r="CD592" s="51"/>
      <c r="CE592" s="51"/>
      <c r="CF592" s="51"/>
      <c r="CG592" s="51"/>
      <c r="CH592" s="51"/>
      <c r="CI592" s="51"/>
      <c r="CJ592" s="51"/>
      <c r="CK592" s="51"/>
      <c r="CL592" s="51"/>
      <c r="CM592" s="51"/>
      <c r="CN592" s="51"/>
      <c r="CO592" s="51"/>
      <c r="CP592" s="51"/>
    </row>
    <row r="593" spans="20:94" s="49" customFormat="1" ht="13" customHeight="1"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  <c r="CC593" s="51"/>
      <c r="CD593" s="51"/>
      <c r="CE593" s="51"/>
      <c r="CF593" s="51"/>
      <c r="CG593" s="51"/>
      <c r="CH593" s="51"/>
      <c r="CI593" s="51"/>
      <c r="CJ593" s="51"/>
      <c r="CK593" s="51"/>
      <c r="CL593" s="51"/>
      <c r="CM593" s="51"/>
      <c r="CN593" s="51"/>
      <c r="CO593" s="51"/>
      <c r="CP593" s="51"/>
    </row>
    <row r="594" spans="20:94" s="49" customFormat="1" ht="13" customHeight="1"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  <c r="CC594" s="51"/>
      <c r="CD594" s="51"/>
      <c r="CE594" s="51"/>
      <c r="CF594" s="51"/>
      <c r="CG594" s="51"/>
      <c r="CH594" s="51"/>
      <c r="CI594" s="51"/>
      <c r="CJ594" s="51"/>
      <c r="CK594" s="51"/>
      <c r="CL594" s="51"/>
      <c r="CM594" s="51"/>
      <c r="CN594" s="51"/>
      <c r="CO594" s="51"/>
      <c r="CP594" s="51"/>
    </row>
    <row r="595" spans="20:94" s="49" customFormat="1" ht="13" customHeight="1"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  <c r="CC595" s="51"/>
      <c r="CD595" s="51"/>
      <c r="CE595" s="51"/>
      <c r="CF595" s="51"/>
      <c r="CG595" s="51"/>
      <c r="CH595" s="51"/>
      <c r="CI595" s="51"/>
      <c r="CJ595" s="51"/>
      <c r="CK595" s="51"/>
      <c r="CL595" s="51"/>
      <c r="CM595" s="51"/>
      <c r="CN595" s="51"/>
      <c r="CO595" s="51"/>
      <c r="CP595" s="51"/>
    </row>
    <row r="596" spans="20:94" s="49" customFormat="1" ht="13" customHeight="1"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  <c r="CC596" s="51"/>
      <c r="CD596" s="51"/>
      <c r="CE596" s="51"/>
      <c r="CF596" s="51"/>
      <c r="CG596" s="51"/>
      <c r="CH596" s="51"/>
      <c r="CI596" s="51"/>
      <c r="CJ596" s="51"/>
      <c r="CK596" s="51"/>
      <c r="CL596" s="51"/>
      <c r="CM596" s="51"/>
      <c r="CN596" s="51"/>
      <c r="CO596" s="51"/>
      <c r="CP596" s="51"/>
    </row>
    <row r="597" spans="20:94" s="49" customFormat="1" ht="13" customHeight="1"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  <c r="CC597" s="51"/>
      <c r="CD597" s="51"/>
      <c r="CE597" s="51"/>
      <c r="CF597" s="51"/>
      <c r="CG597" s="51"/>
      <c r="CH597" s="51"/>
      <c r="CI597" s="51"/>
      <c r="CJ597" s="51"/>
      <c r="CK597" s="51"/>
      <c r="CL597" s="51"/>
      <c r="CM597" s="51"/>
      <c r="CN597" s="51"/>
      <c r="CO597" s="51"/>
      <c r="CP597" s="51"/>
    </row>
    <row r="598" spans="20:94" s="49" customFormat="1" ht="13" customHeight="1"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  <c r="CC598" s="51"/>
      <c r="CD598" s="51"/>
      <c r="CE598" s="51"/>
      <c r="CF598" s="51"/>
      <c r="CG598" s="51"/>
      <c r="CH598" s="51"/>
      <c r="CI598" s="51"/>
      <c r="CJ598" s="51"/>
      <c r="CK598" s="51"/>
      <c r="CL598" s="51"/>
      <c r="CM598" s="51"/>
      <c r="CN598" s="51"/>
      <c r="CO598" s="51"/>
      <c r="CP598" s="51"/>
    </row>
    <row r="599" spans="20:94" s="49" customFormat="1" ht="13" customHeight="1"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  <c r="CC599" s="51"/>
      <c r="CD599" s="51"/>
      <c r="CE599" s="51"/>
      <c r="CF599" s="51"/>
      <c r="CG599" s="51"/>
      <c r="CH599" s="51"/>
      <c r="CI599" s="51"/>
      <c r="CJ599" s="51"/>
      <c r="CK599" s="51"/>
      <c r="CL599" s="51"/>
      <c r="CM599" s="51"/>
      <c r="CN599" s="51"/>
      <c r="CO599" s="51"/>
      <c r="CP599" s="51"/>
    </row>
    <row r="600" spans="20:94" s="49" customFormat="1" ht="13" customHeight="1"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  <c r="CC600" s="51"/>
      <c r="CD600" s="51"/>
      <c r="CE600" s="51"/>
      <c r="CF600" s="51"/>
      <c r="CG600" s="51"/>
      <c r="CH600" s="51"/>
      <c r="CI600" s="51"/>
      <c r="CJ600" s="51"/>
      <c r="CK600" s="51"/>
      <c r="CL600" s="51"/>
      <c r="CM600" s="51"/>
      <c r="CN600" s="51"/>
      <c r="CO600" s="51"/>
      <c r="CP600" s="51"/>
    </row>
    <row r="601" spans="20:94" s="49" customFormat="1" ht="13" customHeight="1"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  <c r="CC601" s="51"/>
      <c r="CD601" s="51"/>
      <c r="CE601" s="51"/>
      <c r="CF601" s="51"/>
      <c r="CG601" s="51"/>
      <c r="CH601" s="51"/>
      <c r="CI601" s="51"/>
      <c r="CJ601" s="51"/>
      <c r="CK601" s="51"/>
      <c r="CL601" s="51"/>
      <c r="CM601" s="51"/>
      <c r="CN601" s="51"/>
      <c r="CO601" s="51"/>
      <c r="CP601" s="51"/>
    </row>
    <row r="602" spans="20:94" s="49" customFormat="1" ht="13" customHeight="1"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  <c r="CC602" s="51"/>
      <c r="CD602" s="51"/>
      <c r="CE602" s="51"/>
      <c r="CF602" s="51"/>
      <c r="CG602" s="51"/>
      <c r="CH602" s="51"/>
      <c r="CI602" s="51"/>
      <c r="CJ602" s="51"/>
      <c r="CK602" s="51"/>
      <c r="CL602" s="51"/>
      <c r="CM602" s="51"/>
      <c r="CN602" s="51"/>
      <c r="CO602" s="51"/>
      <c r="CP602" s="51"/>
    </row>
    <row r="603" spans="20:94" s="49" customFormat="1" ht="13" customHeight="1"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  <c r="CC603" s="51"/>
      <c r="CD603" s="51"/>
      <c r="CE603" s="51"/>
      <c r="CF603" s="51"/>
      <c r="CG603" s="51"/>
      <c r="CH603" s="51"/>
      <c r="CI603" s="51"/>
      <c r="CJ603" s="51"/>
      <c r="CK603" s="51"/>
      <c r="CL603" s="51"/>
      <c r="CM603" s="51"/>
      <c r="CN603" s="51"/>
      <c r="CO603" s="51"/>
      <c r="CP603" s="51"/>
    </row>
    <row r="604" spans="20:94" s="49" customFormat="1" ht="13" customHeight="1"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  <c r="CC604" s="51"/>
      <c r="CD604" s="51"/>
      <c r="CE604" s="51"/>
      <c r="CF604" s="51"/>
      <c r="CG604" s="51"/>
      <c r="CH604" s="51"/>
      <c r="CI604" s="51"/>
      <c r="CJ604" s="51"/>
      <c r="CK604" s="51"/>
      <c r="CL604" s="51"/>
      <c r="CM604" s="51"/>
      <c r="CN604" s="51"/>
      <c r="CO604" s="51"/>
      <c r="CP604" s="51"/>
    </row>
    <row r="605" spans="20:94" s="49" customFormat="1" ht="13" customHeight="1"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  <c r="CC605" s="51"/>
      <c r="CD605" s="51"/>
      <c r="CE605" s="51"/>
      <c r="CF605" s="51"/>
      <c r="CG605" s="51"/>
      <c r="CH605" s="51"/>
      <c r="CI605" s="51"/>
      <c r="CJ605" s="51"/>
      <c r="CK605" s="51"/>
      <c r="CL605" s="51"/>
      <c r="CM605" s="51"/>
      <c r="CN605" s="51"/>
      <c r="CO605" s="51"/>
      <c r="CP605" s="51"/>
    </row>
    <row r="606" spans="20:94" s="49" customFormat="1" ht="13" customHeight="1"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  <c r="CC606" s="51"/>
      <c r="CD606" s="51"/>
      <c r="CE606" s="51"/>
      <c r="CF606" s="51"/>
      <c r="CG606" s="51"/>
      <c r="CH606" s="51"/>
      <c r="CI606" s="51"/>
      <c r="CJ606" s="51"/>
      <c r="CK606" s="51"/>
      <c r="CL606" s="51"/>
      <c r="CM606" s="51"/>
      <c r="CN606" s="51"/>
      <c r="CO606" s="51"/>
      <c r="CP606" s="51"/>
    </row>
    <row r="607" spans="20:94" s="49" customFormat="1" ht="13" customHeight="1"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  <c r="CC607" s="51"/>
      <c r="CD607" s="51"/>
      <c r="CE607" s="51"/>
      <c r="CF607" s="51"/>
      <c r="CG607" s="51"/>
      <c r="CH607" s="51"/>
      <c r="CI607" s="51"/>
      <c r="CJ607" s="51"/>
      <c r="CK607" s="51"/>
      <c r="CL607" s="51"/>
      <c r="CM607" s="51"/>
      <c r="CN607" s="51"/>
      <c r="CO607" s="51"/>
      <c r="CP607" s="51"/>
    </row>
    <row r="608" spans="20:94" s="49" customFormat="1" ht="13" customHeight="1"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  <c r="CC608" s="51"/>
      <c r="CD608" s="51"/>
      <c r="CE608" s="51"/>
      <c r="CF608" s="51"/>
      <c r="CG608" s="51"/>
      <c r="CH608" s="51"/>
      <c r="CI608" s="51"/>
      <c r="CJ608" s="51"/>
      <c r="CK608" s="51"/>
      <c r="CL608" s="51"/>
      <c r="CM608" s="51"/>
      <c r="CN608" s="51"/>
      <c r="CO608" s="51"/>
      <c r="CP608" s="51"/>
    </row>
    <row r="609" spans="20:94" s="49" customFormat="1" ht="13" customHeight="1"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  <c r="CC609" s="51"/>
      <c r="CD609" s="51"/>
      <c r="CE609" s="51"/>
      <c r="CF609" s="51"/>
      <c r="CG609" s="51"/>
      <c r="CH609" s="51"/>
      <c r="CI609" s="51"/>
      <c r="CJ609" s="51"/>
      <c r="CK609" s="51"/>
      <c r="CL609" s="51"/>
      <c r="CM609" s="51"/>
      <c r="CN609" s="51"/>
      <c r="CO609" s="51"/>
      <c r="CP609" s="51"/>
    </row>
  </sheetData>
  <sheetProtection password="CACC" sheet="1" objects="1" scenarios="1"/>
  <mergeCells count="37">
    <mergeCell ref="M1:S5"/>
    <mergeCell ref="M6:S8"/>
    <mergeCell ref="A31:A34"/>
    <mergeCell ref="H3:H8"/>
    <mergeCell ref="A1:L1"/>
    <mergeCell ref="I31:I34"/>
    <mergeCell ref="H20:H21"/>
    <mergeCell ref="K20:K21"/>
    <mergeCell ref="G3:G8"/>
    <mergeCell ref="J38:J40"/>
    <mergeCell ref="I20:I21"/>
    <mergeCell ref="A20:A21"/>
    <mergeCell ref="J31:J34"/>
    <mergeCell ref="Q9:S9"/>
    <mergeCell ref="J20:J21"/>
    <mergeCell ref="H38:H40"/>
    <mergeCell ref="H10:H19"/>
    <mergeCell ref="J10:J19"/>
    <mergeCell ref="M9:P9"/>
    <mergeCell ref="H35:H37"/>
    <mergeCell ref="K35:K37"/>
    <mergeCell ref="I38:I40"/>
    <mergeCell ref="I10:I19"/>
    <mergeCell ref="A38:A40"/>
    <mergeCell ref="K38:K40"/>
    <mergeCell ref="H31:H34"/>
    <mergeCell ref="I35:I37"/>
    <mergeCell ref="A35:A37"/>
    <mergeCell ref="H22:H30"/>
    <mergeCell ref="J22:J30"/>
    <mergeCell ref="A22:A30"/>
    <mergeCell ref="K31:K34"/>
    <mergeCell ref="J35:J37"/>
    <mergeCell ref="I22:I30"/>
    <mergeCell ref="K10:K19"/>
    <mergeCell ref="K22:K30"/>
    <mergeCell ref="A10:A19"/>
  </mergeCells>
  <phoneticPr fontId="46" type="noConversion"/>
  <dataValidations count="19">
    <dataValidation type="list" showInputMessage="1" showErrorMessage="1" sqref="C10" xr:uid="{00000000-0002-0000-0100-000000000000}">
      <formula1>"无,&lt;3%,3%~10%,&gt;10%"</formula1>
    </dataValidation>
    <dataValidation type="list" showInputMessage="1" showErrorMessage="1" sqref="C11" xr:uid="{00000000-0002-0000-0100-000001000000}">
      <formula1>" 无,&lt;3%,3%~10%,&gt;10%"</formula1>
    </dataValidation>
    <dataValidation type="list" showInputMessage="1" showErrorMessage="1" sqref="C14" xr:uid="{00000000-0002-0000-0100-000002000000}">
      <formula1>"无,1个,2个,≥3个"</formula1>
    </dataValidation>
    <dataValidation type="list" showInputMessage="1" showErrorMessage="1" sqref="C19" xr:uid="{00000000-0002-0000-0100-000003000000}">
      <formula1>"足够,临界,不足(*)"</formula1>
    </dataValidation>
    <dataValidation type="list" showInputMessage="1" showErrorMessage="1" sqref="C20 C27" xr:uid="{00000000-0002-0000-0100-000004000000}">
      <formula1>"无,轻微,明显"</formula1>
    </dataValidation>
    <dataValidation type="list" showInputMessage="1" showErrorMessage="1" sqref="C21" xr:uid="{00000000-0002-0000-0100-000005000000}">
      <formula1>"无,＜2cm,2cm~5cm,&gt;5cm"</formula1>
    </dataValidation>
    <dataValidation type="list" showInputMessage="1" showErrorMessage="1" sqref="C22" xr:uid="{00000000-0002-0000-0100-000006000000}">
      <formula1>"无,1个~5个,&gt;5个"</formula1>
    </dataValidation>
    <dataValidation type="list" showInputMessage="1" showErrorMessage="1" sqref="C23" xr:uid="{00000000-0002-0000-0100-000007000000}">
      <formula1>"无,少量,严重"</formula1>
    </dataValidation>
    <dataValidation type="list" showInputMessage="1" showErrorMessage="1" sqref="C24:C26 C28 C30" xr:uid="{00000000-0002-0000-0100-000008000000}">
      <formula1>"无,轻微,严重"</formula1>
    </dataValidation>
    <dataValidation type="list" showInputMessage="1" showErrorMessage="1" sqref="C29" xr:uid="{00000000-0002-0000-0100-000009000000}">
      <formula1>"正常,略有变化,卡死"</formula1>
    </dataValidation>
    <dataValidation type="list" showInputMessage="1" showErrorMessage="1" sqref="C33" xr:uid="{00000000-0002-0000-0100-00000A000000}">
      <formula1>"无,个别处,多处"</formula1>
    </dataValidation>
    <dataValidation type="list" showInputMessage="1" showErrorMessage="1" sqref="C34" xr:uid="{00000000-0002-0000-0100-00000B000000}">
      <formula1>"完好,渗水,老化"</formula1>
    </dataValidation>
    <dataValidation type="list" showInputMessage="1" showErrorMessage="1" sqref="C31:C32 C35" xr:uid="{00000000-0002-0000-0100-00000C000000}">
      <formula1>"无,&lt;5%,5%~20%,&gt;20%"</formula1>
    </dataValidation>
    <dataValidation type="list" showInputMessage="1" showErrorMessage="1" sqref="C38" xr:uid="{00000000-0002-0000-0100-00000D000000}">
      <formula1>"无,&lt;10%,10%~20%,&gt;20%"</formula1>
    </dataValidation>
    <dataValidation type="list" showInputMessage="1" showErrorMessage="1" sqref="C12:C13" xr:uid="{00000000-0002-0000-0100-00000E000000}">
      <formula1>"无,&lt;3%,3%~5%,&gt;5%"</formula1>
    </dataValidation>
    <dataValidation type="list" showInputMessage="1" showErrorMessage="1" sqref="C15:C16" xr:uid="{00000000-0002-0000-0100-00000F000000}">
      <formula1>"无,半贯通,贯通"</formula1>
    </dataValidation>
    <dataValidation type="list" showInputMessage="1" showErrorMessage="1" sqref="C17:C18" xr:uid="{00000000-0002-0000-0100-000010000000}">
      <formula1>"无,0%~3%,3%~10%,&gt;10%"</formula1>
    </dataValidation>
    <dataValidation type="list" showInputMessage="1" showErrorMessage="1" sqref="C36:C37" xr:uid="{00000000-0002-0000-0100-000011000000}">
      <formula1>"无,轻微,中等,严重(*)"</formula1>
    </dataValidation>
    <dataValidation type="list" showInputMessage="1" showErrorMessage="1" sqref="C39:C40" xr:uid="{00000000-0002-0000-0100-000012000000}">
      <formula1>"无,&lt;5%,5%~10%,&gt;10%"</formula1>
    </dataValidation>
  </dataValidations>
  <pageMargins left="0.69930555555555596" right="0.69930555555555596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V492"/>
  <sheetViews>
    <sheetView workbookViewId="0">
      <pane xSplit="1" ySplit="13" topLeftCell="B14" activePane="bottomRight" state="frozen"/>
      <selection pane="topRight"/>
      <selection pane="bottomLeft"/>
      <selection pane="bottomRight" activeCell="L20" sqref="L20"/>
    </sheetView>
  </sheetViews>
  <sheetFormatPr defaultColWidth="9" defaultRowHeight="19.5" customHeight="1"/>
  <cols>
    <col min="1" max="1" width="11" style="11" customWidth="1"/>
    <col min="2" max="2" width="13" style="11" customWidth="1"/>
    <col min="3" max="3" width="13.26953125" style="11" customWidth="1"/>
    <col min="4" max="12" width="7.90625" style="11" customWidth="1"/>
    <col min="13" max="13" width="7.453125" style="11" customWidth="1"/>
    <col min="14" max="16" width="9" style="11" customWidth="1"/>
    <col min="17" max="74" width="9" style="10" customWidth="1"/>
    <col min="75" max="76" width="9" style="11" customWidth="1"/>
    <col min="77" max="16384" width="9" style="11"/>
  </cols>
  <sheetData>
    <row r="1" spans="1:34" ht="15" customHeight="1">
      <c r="A1" s="12" t="s">
        <v>118</v>
      </c>
      <c r="B1" s="12" t="s">
        <v>119</v>
      </c>
      <c r="C1" s="12" t="s">
        <v>120</v>
      </c>
      <c r="D1" s="12" t="s">
        <v>121</v>
      </c>
      <c r="E1" s="12" t="s">
        <v>122</v>
      </c>
      <c r="F1" s="12" t="s">
        <v>123</v>
      </c>
      <c r="G1" s="12" t="s">
        <v>124</v>
      </c>
      <c r="H1" s="12" t="s">
        <v>125</v>
      </c>
      <c r="I1" s="12" t="s">
        <v>126</v>
      </c>
      <c r="J1" s="12" t="s">
        <v>127</v>
      </c>
      <c r="K1" s="12" t="s">
        <v>128</v>
      </c>
      <c r="L1" s="47" t="s">
        <v>5</v>
      </c>
      <c r="M1" s="47" t="s">
        <v>129</v>
      </c>
      <c r="N1" s="47" t="s">
        <v>130</v>
      </c>
      <c r="O1" s="47" t="s">
        <v>118</v>
      </c>
      <c r="P1" s="47" t="s">
        <v>4</v>
      </c>
    </row>
    <row r="2" spans="1:34" ht="15" customHeight="1">
      <c r="A2" s="14" t="str">
        <f>IF(L12=1,"主梁",IF(L12=2,"悬臂梁",IF(L12=3,"主梁",IF(L12=4,"桁片",IF(L12=5,"主拱圈（桁）",IF(L12=6,"主拱圈",IF(L12=7,"主梁",IF(L12=8,"桁片"))))))))</f>
        <v>主梁</v>
      </c>
      <c r="B2" s="15">
        <v>100</v>
      </c>
      <c r="C2" s="15">
        <v>100</v>
      </c>
      <c r="D2" s="15">
        <v>100</v>
      </c>
      <c r="E2" s="15">
        <v>100</v>
      </c>
      <c r="F2" s="15">
        <v>100</v>
      </c>
      <c r="G2" s="15">
        <v>100</v>
      </c>
      <c r="H2" s="15">
        <v>100</v>
      </c>
      <c r="I2" s="15">
        <v>100</v>
      </c>
      <c r="J2" s="15">
        <v>100</v>
      </c>
      <c r="K2" s="15">
        <v>100</v>
      </c>
      <c r="L2" s="16" t="str">
        <f>IF(L12=1,"0.60",IF(L12=2,"0.60",IF(L12=3,"0.80",IF(L12=4,"0.50",IF(L12=5,"0.70",IF(L12=6,"0.50",IF(L12=7,"0.55",IF(L12=8,"0.48"))))))))</f>
        <v>0.60</v>
      </c>
      <c r="M2" s="17">
        <v>0.6</v>
      </c>
      <c r="N2" s="18">
        <f t="shared" ref="N2:N7" si="0">M2/SUM(M$2:M$7)</f>
        <v>0.6</v>
      </c>
      <c r="O2" s="12" t="str">
        <f t="shared" ref="O2:O7" si="1">A2</f>
        <v>主梁</v>
      </c>
      <c r="P2" s="19">
        <f t="shared" ref="P2:P7" si="2">SUM(Y2:AH2)/$A$10</f>
        <v>100</v>
      </c>
      <c r="Y2" s="10">
        <f t="shared" ref="Y2:AH7" si="3">B2*B$10</f>
        <v>100</v>
      </c>
      <c r="Z2" s="10">
        <f t="shared" si="3"/>
        <v>100</v>
      </c>
      <c r="AA2" s="10">
        <f t="shared" si="3"/>
        <v>100</v>
      </c>
      <c r="AB2" s="10">
        <f t="shared" si="3"/>
        <v>100</v>
      </c>
      <c r="AC2" s="10">
        <f t="shared" si="3"/>
        <v>100</v>
      </c>
      <c r="AD2" s="10">
        <f t="shared" si="3"/>
        <v>100</v>
      </c>
      <c r="AE2" s="10">
        <f t="shared" si="3"/>
        <v>100</v>
      </c>
      <c r="AF2" s="10">
        <f t="shared" si="3"/>
        <v>100</v>
      </c>
      <c r="AG2" s="10">
        <f t="shared" si="3"/>
        <v>0</v>
      </c>
      <c r="AH2" s="10">
        <f t="shared" si="3"/>
        <v>100</v>
      </c>
    </row>
    <row r="3" spans="1:34" ht="15" customHeight="1">
      <c r="A3" s="14" t="str">
        <f>IF(L12=1,"横向联系",IF(L12=2,"挂梁",IF(L12=3,"横向连接",IF(L12=4,"主节点",IF(L12=5,"横向联系",IF(L12=6,"拱上构造",IF(L12=7,"横向联系",IF(L12=8,"主节点"))))))))</f>
        <v>横向联系</v>
      </c>
      <c r="B3" s="15">
        <v>90</v>
      </c>
      <c r="C3" s="15">
        <v>100</v>
      </c>
      <c r="D3" s="15">
        <v>100</v>
      </c>
      <c r="E3" s="15">
        <v>100</v>
      </c>
      <c r="F3" s="15">
        <v>100</v>
      </c>
      <c r="G3" s="15">
        <v>100</v>
      </c>
      <c r="H3" s="15">
        <v>100</v>
      </c>
      <c r="I3" s="15">
        <v>100</v>
      </c>
      <c r="J3" s="15">
        <v>100</v>
      </c>
      <c r="K3" s="15">
        <v>100</v>
      </c>
      <c r="L3" s="16" t="str">
        <f>IF(L12=1,"0.40",IF(L12=2,"0.20",IF(L12=3,"0.20",IF(L12=4,"0.10",IF(L12=5,"0.30",IF(L12=6,"0.20",IF(L12=7,"0.35",IF(L12=8,"0.08"))))))))</f>
        <v>0.40</v>
      </c>
      <c r="M3" s="17">
        <v>0.4</v>
      </c>
      <c r="N3" s="18">
        <f t="shared" si="0"/>
        <v>0.4</v>
      </c>
      <c r="O3" s="12" t="str">
        <f t="shared" si="1"/>
        <v>横向联系</v>
      </c>
      <c r="P3" s="19">
        <f t="shared" si="2"/>
        <v>98.888888888888886</v>
      </c>
      <c r="Y3" s="10">
        <f t="shared" si="3"/>
        <v>90</v>
      </c>
      <c r="Z3" s="10">
        <f t="shared" si="3"/>
        <v>100</v>
      </c>
      <c r="AA3" s="10">
        <f t="shared" si="3"/>
        <v>100</v>
      </c>
      <c r="AB3" s="10">
        <f t="shared" si="3"/>
        <v>100</v>
      </c>
      <c r="AC3" s="10">
        <f t="shared" si="3"/>
        <v>100</v>
      </c>
      <c r="AD3" s="10">
        <f t="shared" si="3"/>
        <v>100</v>
      </c>
      <c r="AE3" s="10">
        <f t="shared" si="3"/>
        <v>100</v>
      </c>
      <c r="AF3" s="10">
        <f t="shared" si="3"/>
        <v>100</v>
      </c>
      <c r="AG3" s="10">
        <f t="shared" si="3"/>
        <v>0</v>
      </c>
      <c r="AH3" s="10">
        <f t="shared" si="3"/>
        <v>100</v>
      </c>
    </row>
    <row r="4" spans="1:34" ht="15" customHeight="1">
      <c r="A4" s="14" t="str">
        <f>IF(L12=1,"无",IF(L12=2,"挂梁支座",IF(L12=3,"无",IF(L12=4,"纵梁",IF(L12=5,"无",IF(L12=6,"横向联系",IF(L12=7,"外部装饰板",IF(L12=8,"纵梁"))))))))</f>
        <v>无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6" t="str">
        <f>IF(L12=1,"0",IF(L12=2,"0.10",IF(L12=3,"0",IF(L12=4,"0.20",IF(L12=5,"0",IF(L12=6,"0.30",IF(L12=7,"0.10",IF(L12=8,"0.18"))))))))</f>
        <v>0</v>
      </c>
      <c r="M4" s="17">
        <v>0</v>
      </c>
      <c r="N4" s="18">
        <f t="shared" si="0"/>
        <v>0</v>
      </c>
      <c r="O4" s="12" t="str">
        <f t="shared" si="1"/>
        <v>无</v>
      </c>
      <c r="P4" s="19">
        <f t="shared" si="2"/>
        <v>0</v>
      </c>
      <c r="Y4" s="10">
        <f t="shared" si="3"/>
        <v>0</v>
      </c>
      <c r="Z4" s="10">
        <f t="shared" si="3"/>
        <v>0</v>
      </c>
      <c r="AA4" s="10">
        <f t="shared" si="3"/>
        <v>0</v>
      </c>
      <c r="AB4" s="10">
        <f t="shared" si="3"/>
        <v>0</v>
      </c>
      <c r="AC4" s="10">
        <f t="shared" si="3"/>
        <v>0</v>
      </c>
      <c r="AD4" s="10">
        <f t="shared" si="3"/>
        <v>0</v>
      </c>
      <c r="AE4" s="10">
        <f t="shared" si="3"/>
        <v>0</v>
      </c>
      <c r="AF4" s="10">
        <f t="shared" si="3"/>
        <v>0</v>
      </c>
      <c r="AG4" s="10">
        <f t="shared" si="3"/>
        <v>0</v>
      </c>
      <c r="AH4" s="10">
        <f t="shared" si="3"/>
        <v>0</v>
      </c>
    </row>
    <row r="5" spans="1:34" ht="15" customHeight="1">
      <c r="A5" s="14" t="str">
        <f>IF(L12=1,"无",IF(L12=2,"防落梁装置",IF(L12=3,"无",IF(L12=4,"横梁",IF(L12=5,"无",IF(L12=6,"无",IF(L12=7,"无",IF(L12=8,"横梁"))))))))</f>
        <v>无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6" t="str">
        <f>IF(L12=1,"0",IF(L12=2,"0.10",IF(L12=3,"0",IF(L12=4,"0.10",IF(L12=5,"0",IF(L12=6,"0",IF(L12=7,"0",IF(L12=8,"0.08"))))))))</f>
        <v>0</v>
      </c>
      <c r="M5" s="17"/>
      <c r="N5" s="18">
        <f t="shared" si="0"/>
        <v>0</v>
      </c>
      <c r="O5" s="12" t="str">
        <f t="shared" si="1"/>
        <v>无</v>
      </c>
      <c r="P5" s="19">
        <f t="shared" si="2"/>
        <v>0</v>
      </c>
      <c r="Y5" s="10">
        <f t="shared" si="3"/>
        <v>0</v>
      </c>
      <c r="Z5" s="10">
        <f t="shared" si="3"/>
        <v>0</v>
      </c>
      <c r="AA5" s="10">
        <f t="shared" si="3"/>
        <v>0</v>
      </c>
      <c r="AB5" s="10">
        <f t="shared" si="3"/>
        <v>0</v>
      </c>
      <c r="AC5" s="10">
        <f t="shared" si="3"/>
        <v>0</v>
      </c>
      <c r="AD5" s="10">
        <f t="shared" si="3"/>
        <v>0</v>
      </c>
      <c r="AE5" s="10">
        <f t="shared" si="3"/>
        <v>0</v>
      </c>
      <c r="AF5" s="10">
        <f t="shared" si="3"/>
        <v>0</v>
      </c>
      <c r="AG5" s="10">
        <f t="shared" si="3"/>
        <v>0</v>
      </c>
      <c r="AH5" s="10">
        <f t="shared" si="3"/>
        <v>0</v>
      </c>
    </row>
    <row r="6" spans="1:34" ht="15" customHeight="1">
      <c r="A6" s="14" t="str">
        <f>IF(L12=1,"无",IF(L12=2,"无",IF(L12=3,"无",IF(L12=4,"连接件",IF(L12=5,"无",IF(L12=6,"无",IF(L12=7,"无",IF(L12=8,"连接件"))))))))</f>
        <v>无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6" t="str">
        <f>IF(L12=1,"0",IF(L12=2,"0.10",IF(L12=3,"0",IF(L12=4,"0.10",IF(L12=5,"0",IF(L12=6,"0",IF(L12=7,"0",IF(L12=8,"0.08"))))))))</f>
        <v>0</v>
      </c>
      <c r="M6" s="17"/>
      <c r="N6" s="18">
        <f t="shared" si="0"/>
        <v>0</v>
      </c>
      <c r="O6" s="12" t="str">
        <f t="shared" si="1"/>
        <v>无</v>
      </c>
      <c r="P6" s="19">
        <f t="shared" si="2"/>
        <v>0</v>
      </c>
      <c r="Y6" s="10">
        <f t="shared" si="3"/>
        <v>0</v>
      </c>
      <c r="Z6" s="10">
        <f t="shared" si="3"/>
        <v>0</v>
      </c>
      <c r="AA6" s="10">
        <f t="shared" si="3"/>
        <v>0</v>
      </c>
      <c r="AB6" s="10">
        <f t="shared" si="3"/>
        <v>0</v>
      </c>
      <c r="AC6" s="10">
        <f t="shared" si="3"/>
        <v>0</v>
      </c>
      <c r="AD6" s="10">
        <f t="shared" si="3"/>
        <v>0</v>
      </c>
      <c r="AE6" s="10">
        <f t="shared" si="3"/>
        <v>0</v>
      </c>
      <c r="AF6" s="10">
        <f t="shared" si="3"/>
        <v>0</v>
      </c>
      <c r="AG6" s="10">
        <f t="shared" si="3"/>
        <v>0</v>
      </c>
      <c r="AH6" s="10">
        <f t="shared" si="3"/>
        <v>0</v>
      </c>
    </row>
    <row r="7" spans="1:34" ht="15" customHeight="1">
      <c r="A7" s="14" t="str">
        <f>IF(L12=1,"无",IF(L12=2,"无",IF(L12=3,"无",IF(L12=4,"无",IF(L12=5,"无",IF(L12=6,"无",IF(L12=7,"无",IF(L12=8,"外部装饰板"))))))))</f>
        <v>无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6" t="str">
        <f>IF(L12=1,"0",IF(L12=2,"0.10",IF(L12=3,"0",IF(L12=4,"0",IF(L12=5,"0",IF(L12=6,"0",IF(L12=7,"0",IF(L12=8,"0.10"))))))))</f>
        <v>0</v>
      </c>
      <c r="M7" s="17"/>
      <c r="N7" s="18">
        <f t="shared" si="0"/>
        <v>0</v>
      </c>
      <c r="O7" s="12" t="str">
        <f t="shared" si="1"/>
        <v>无</v>
      </c>
      <c r="P7" s="19">
        <f t="shared" si="2"/>
        <v>0</v>
      </c>
      <c r="Y7" s="10">
        <f t="shared" si="3"/>
        <v>0</v>
      </c>
      <c r="Z7" s="10">
        <f t="shared" si="3"/>
        <v>0</v>
      </c>
      <c r="AA7" s="10">
        <f t="shared" si="3"/>
        <v>0</v>
      </c>
      <c r="AB7" s="10">
        <f t="shared" si="3"/>
        <v>0</v>
      </c>
      <c r="AC7" s="10">
        <f t="shared" si="3"/>
        <v>0</v>
      </c>
      <c r="AD7" s="10">
        <f t="shared" si="3"/>
        <v>0</v>
      </c>
      <c r="AE7" s="10">
        <f t="shared" si="3"/>
        <v>0</v>
      </c>
      <c r="AF7" s="10">
        <f t="shared" si="3"/>
        <v>0</v>
      </c>
      <c r="AG7" s="10">
        <f t="shared" si="3"/>
        <v>0</v>
      </c>
      <c r="AH7" s="10">
        <f t="shared" si="3"/>
        <v>0</v>
      </c>
    </row>
    <row r="8" spans="1:34" ht="15" hidden="1" customHeight="1">
      <c r="A8" s="12" t="s">
        <v>131</v>
      </c>
      <c r="B8" s="18">
        <f t="shared" ref="B8:K8" si="4">B2*$N$2+B3*$N$3+B4*$N$4+B5*$N$5+B6*$N$6+B7*$N$7</f>
        <v>96</v>
      </c>
      <c r="C8" s="18">
        <f t="shared" si="4"/>
        <v>100</v>
      </c>
      <c r="D8" s="18">
        <f t="shared" si="4"/>
        <v>100</v>
      </c>
      <c r="E8" s="18">
        <f t="shared" si="4"/>
        <v>100</v>
      </c>
      <c r="F8" s="18">
        <f t="shared" si="4"/>
        <v>100</v>
      </c>
      <c r="G8" s="18">
        <f t="shared" si="4"/>
        <v>100</v>
      </c>
      <c r="H8" s="18">
        <f t="shared" si="4"/>
        <v>100</v>
      </c>
      <c r="I8" s="18">
        <f t="shared" si="4"/>
        <v>100</v>
      </c>
      <c r="J8" s="18">
        <f t="shared" si="4"/>
        <v>100</v>
      </c>
      <c r="K8" s="18">
        <f t="shared" si="4"/>
        <v>100</v>
      </c>
      <c r="L8" s="42"/>
    </row>
    <row r="9" spans="1:34" ht="15" customHeight="1">
      <c r="A9" s="12" t="s">
        <v>132</v>
      </c>
      <c r="B9" s="162" t="s">
        <v>133</v>
      </c>
      <c r="C9" s="114"/>
      <c r="D9" s="114"/>
      <c r="E9" s="114"/>
      <c r="F9" s="114"/>
      <c r="G9" s="114"/>
      <c r="H9" s="114"/>
      <c r="I9" s="114"/>
      <c r="J9" s="114"/>
      <c r="K9" s="115"/>
      <c r="L9" s="167" t="s">
        <v>28</v>
      </c>
      <c r="M9" s="119"/>
      <c r="N9" s="174" t="s">
        <v>134</v>
      </c>
      <c r="O9" s="118"/>
      <c r="P9" s="118"/>
      <c r="Q9" s="118"/>
      <c r="R9" s="118"/>
      <c r="S9" s="118"/>
      <c r="T9" s="118"/>
      <c r="U9" s="119"/>
    </row>
    <row r="10" spans="1:34" ht="15" customHeight="1">
      <c r="A10" s="12">
        <f>SUM(B10:K10)</f>
        <v>9</v>
      </c>
      <c r="B10" s="28">
        <v>1</v>
      </c>
      <c r="C10" s="28">
        <v>1</v>
      </c>
      <c r="D10" s="28">
        <v>1</v>
      </c>
      <c r="E10" s="28">
        <v>1</v>
      </c>
      <c r="F10" s="28">
        <v>1</v>
      </c>
      <c r="G10" s="28">
        <v>1</v>
      </c>
      <c r="H10" s="28">
        <v>1</v>
      </c>
      <c r="I10" s="28">
        <v>1</v>
      </c>
      <c r="J10" s="28"/>
      <c r="K10" s="28">
        <v>1</v>
      </c>
      <c r="L10" s="124"/>
      <c r="M10" s="126"/>
      <c r="N10" s="121"/>
      <c r="O10" s="171"/>
      <c r="P10" s="171"/>
      <c r="Q10" s="172"/>
      <c r="R10" s="172"/>
      <c r="S10" s="172"/>
      <c r="T10" s="172"/>
      <c r="U10" s="123"/>
    </row>
    <row r="11" spans="1:34" ht="16.5" customHeight="1">
      <c r="A11" s="18">
        <f>SUM(B11:K11)</f>
        <v>896</v>
      </c>
      <c r="B11" s="18">
        <f t="shared" ref="B11:K11" si="5">B8*B10</f>
        <v>96</v>
      </c>
      <c r="C11" s="18">
        <f t="shared" si="5"/>
        <v>100</v>
      </c>
      <c r="D11" s="18">
        <f t="shared" si="5"/>
        <v>100</v>
      </c>
      <c r="E11" s="18">
        <f t="shared" si="5"/>
        <v>100</v>
      </c>
      <c r="F11" s="18">
        <f t="shared" si="5"/>
        <v>100</v>
      </c>
      <c r="G11" s="18">
        <f t="shared" si="5"/>
        <v>100</v>
      </c>
      <c r="H11" s="18">
        <f t="shared" si="5"/>
        <v>100</v>
      </c>
      <c r="I11" s="18">
        <f t="shared" si="5"/>
        <v>100</v>
      </c>
      <c r="J11" s="18">
        <f t="shared" si="5"/>
        <v>0</v>
      </c>
      <c r="K11" s="18">
        <f t="shared" si="5"/>
        <v>100</v>
      </c>
      <c r="L11" s="12"/>
      <c r="M11" s="12"/>
      <c r="N11" s="121"/>
      <c r="O11" s="171"/>
      <c r="P11" s="171"/>
      <c r="Q11" s="172"/>
      <c r="R11" s="172"/>
      <c r="S11" s="172"/>
      <c r="T11" s="172"/>
      <c r="U11" s="123"/>
    </row>
    <row r="12" spans="1:34" ht="22.5" customHeight="1">
      <c r="A12" s="48" t="s">
        <v>135</v>
      </c>
      <c r="B12" s="175">
        <f>A11/A10</f>
        <v>99.555555555555557</v>
      </c>
      <c r="C12" s="114"/>
      <c r="D12" s="115"/>
      <c r="E12" s="163" t="s">
        <v>136</v>
      </c>
      <c r="F12" s="115"/>
      <c r="G12" s="164">
        <f>MIN(IF(B10&gt;0,B11,100),IF(C10&gt;0,C11,100),IF(D10&gt;0,D11,100),IF(E10&gt;0,E11,100),IF(F10&gt;0,F11,100),IF(G10&gt;0,G11,100),IF(H10&gt;0,H11,100),IF(I10&gt;0,I11,100),IF(J10&gt;0,J11,100),IF(K10&gt;0,K11,100))</f>
        <v>96</v>
      </c>
      <c r="H12" s="114"/>
      <c r="I12" s="114"/>
      <c r="J12" s="114"/>
      <c r="K12" s="115"/>
      <c r="L12" s="173">
        <v>1</v>
      </c>
      <c r="M12" s="135"/>
      <c r="N12" s="121"/>
      <c r="O12" s="171"/>
      <c r="P12" s="171"/>
      <c r="Q12" s="172"/>
      <c r="R12" s="172"/>
      <c r="S12" s="172"/>
      <c r="T12" s="172"/>
      <c r="U12" s="123"/>
    </row>
    <row r="13" spans="1:34" ht="30" customHeight="1">
      <c r="A13" s="35" t="s">
        <v>118</v>
      </c>
      <c r="B13" s="35" t="s">
        <v>18</v>
      </c>
      <c r="C13" s="35" t="s">
        <v>19</v>
      </c>
      <c r="D13" s="35" t="s">
        <v>137</v>
      </c>
      <c r="E13" s="35" t="s">
        <v>138</v>
      </c>
      <c r="F13" s="35" t="s">
        <v>22</v>
      </c>
      <c r="G13" s="35" t="s">
        <v>139</v>
      </c>
      <c r="H13" s="36" t="s">
        <v>140</v>
      </c>
      <c r="I13" s="35" t="s">
        <v>141</v>
      </c>
      <c r="J13" s="35" t="s">
        <v>26</v>
      </c>
      <c r="K13" s="35" t="s">
        <v>27</v>
      </c>
      <c r="L13" s="139"/>
      <c r="M13" s="141"/>
      <c r="N13" s="121"/>
      <c r="O13" s="171"/>
      <c r="P13" s="171"/>
      <c r="Q13" s="172"/>
      <c r="R13" s="172"/>
      <c r="S13" s="172"/>
      <c r="T13" s="172"/>
      <c r="U13" s="123"/>
    </row>
    <row r="14" spans="1:34" ht="13.5" customHeight="1">
      <c r="A14" s="107" t="s">
        <v>142</v>
      </c>
      <c r="B14" s="12" t="s">
        <v>143</v>
      </c>
      <c r="C14" s="38" t="s">
        <v>30</v>
      </c>
      <c r="D14" s="26">
        <f>IF(C14="无",0,IF(C14="&lt;3%",10,IF(C14="3%~10%",25,IF(C14="&gt;10%",40))))</f>
        <v>0</v>
      </c>
      <c r="E14" s="39">
        <f t="shared" ref="E14:E45" si="6">IF(D14=0,0,3*POWER(G14,3)-5.5*POWER(G14,2)+3.5*G14)</f>
        <v>0</v>
      </c>
      <c r="F14" s="39">
        <f t="shared" ref="F14:F45" si="7">D14*E14</f>
        <v>0</v>
      </c>
      <c r="G14" s="39">
        <f t="shared" ref="G14:G21" si="8">IF(SUM(D$14:D$21)=0,0,D14/(SUM(D$14:D$21)))</f>
        <v>0</v>
      </c>
      <c r="H14" s="165">
        <f>MAX(D14:D21)</f>
        <v>15</v>
      </c>
      <c r="I14" s="162">
        <f>SUM(F14:F21)</f>
        <v>15</v>
      </c>
      <c r="J14" s="162">
        <f>IF(I14&lt;H14,H14,IF(I14&gt;=100,"100",IF(I14&gt;=H14,I14)))</f>
        <v>15</v>
      </c>
      <c r="K14" s="162">
        <f>100-J14</f>
        <v>85</v>
      </c>
      <c r="L14" s="170" t="s">
        <v>14</v>
      </c>
      <c r="M14" s="118"/>
      <c r="N14" s="118"/>
      <c r="O14" s="118"/>
      <c r="P14" s="118"/>
      <c r="Q14" s="118"/>
      <c r="R14" s="119"/>
    </row>
    <row r="15" spans="1:34" ht="13.5" customHeight="1">
      <c r="A15" s="108"/>
      <c r="B15" s="12" t="s">
        <v>144</v>
      </c>
      <c r="C15" s="38" t="s">
        <v>30</v>
      </c>
      <c r="D15" s="26">
        <f>IF(C15="无",0,IF(C15="&lt;1%",15,IF(C15="1%~2%",30,IF(C15="&gt;2%",45))))</f>
        <v>0</v>
      </c>
      <c r="E15" s="39">
        <f t="shared" si="6"/>
        <v>0</v>
      </c>
      <c r="F15" s="39">
        <f t="shared" si="7"/>
        <v>0</v>
      </c>
      <c r="G15" s="39">
        <f t="shared" si="8"/>
        <v>0</v>
      </c>
      <c r="H15" s="108"/>
      <c r="I15" s="108"/>
      <c r="J15" s="108"/>
      <c r="K15" s="108"/>
      <c r="L15" s="121"/>
      <c r="M15" s="171"/>
      <c r="N15" s="171"/>
      <c r="O15" s="171"/>
      <c r="P15" s="171"/>
      <c r="Q15" s="172"/>
      <c r="R15" s="123"/>
    </row>
    <row r="16" spans="1:34" ht="13.5" customHeight="1">
      <c r="A16" s="108"/>
      <c r="B16" s="12" t="s">
        <v>145</v>
      </c>
      <c r="C16" s="38" t="s">
        <v>30</v>
      </c>
      <c r="D16" s="26">
        <f>IF(C16="无",0,IF(C16="&lt;1%",20,IF(C16="1%~2%",40,IF(C16="&gt;2%(*)",80))))</f>
        <v>0</v>
      </c>
      <c r="E16" s="39">
        <f t="shared" si="6"/>
        <v>0</v>
      </c>
      <c r="F16" s="39">
        <f t="shared" si="7"/>
        <v>0</v>
      </c>
      <c r="G16" s="39">
        <f t="shared" si="8"/>
        <v>0</v>
      </c>
      <c r="H16" s="108"/>
      <c r="I16" s="108"/>
      <c r="J16" s="108"/>
      <c r="K16" s="108"/>
      <c r="L16" s="121"/>
      <c r="M16" s="171"/>
      <c r="N16" s="171"/>
      <c r="O16" s="171"/>
      <c r="P16" s="171"/>
      <c r="Q16" s="172"/>
      <c r="R16" s="123"/>
    </row>
    <row r="17" spans="1:18" ht="13.5" customHeight="1">
      <c r="A17" s="108"/>
      <c r="B17" s="12" t="s">
        <v>146</v>
      </c>
      <c r="C17" s="38" t="s">
        <v>30</v>
      </c>
      <c r="D17" s="26">
        <f>IF(C17="无",0,IF(C17="轻微",40,IF(C17="明显(*)",80)))</f>
        <v>0</v>
      </c>
      <c r="E17" s="39">
        <f t="shared" si="6"/>
        <v>0</v>
      </c>
      <c r="F17" s="39">
        <f t="shared" si="7"/>
        <v>0</v>
      </c>
      <c r="G17" s="39">
        <f t="shared" si="8"/>
        <v>0</v>
      </c>
      <c r="H17" s="108"/>
      <c r="I17" s="108"/>
      <c r="J17" s="108"/>
      <c r="K17" s="108"/>
      <c r="L17" s="124"/>
      <c r="M17" s="125"/>
      <c r="N17" s="125"/>
      <c r="O17" s="125"/>
      <c r="P17" s="125"/>
      <c r="Q17" s="125"/>
      <c r="R17" s="126"/>
    </row>
    <row r="18" spans="1:18" ht="13.5" customHeight="1">
      <c r="A18" s="108"/>
      <c r="B18" s="12" t="s">
        <v>147</v>
      </c>
      <c r="C18" s="38" t="s">
        <v>30</v>
      </c>
      <c r="D18" s="26">
        <f>IF(C18="无",0,IF(C18="明显",35,IF(C18="严重(*)",80)))</f>
        <v>0</v>
      </c>
      <c r="E18" s="39">
        <f t="shared" si="6"/>
        <v>0</v>
      </c>
      <c r="F18" s="39">
        <f t="shared" si="7"/>
        <v>0</v>
      </c>
      <c r="G18" s="39">
        <f t="shared" si="8"/>
        <v>0</v>
      </c>
      <c r="H18" s="108"/>
      <c r="I18" s="108"/>
      <c r="J18" s="108"/>
      <c r="K18" s="108"/>
      <c r="L18" s="10"/>
      <c r="M18" s="10"/>
      <c r="N18" s="10"/>
      <c r="O18" s="10"/>
      <c r="P18" s="10"/>
    </row>
    <row r="19" spans="1:18" ht="13.5" customHeight="1">
      <c r="A19" s="108"/>
      <c r="B19" s="12" t="s">
        <v>148</v>
      </c>
      <c r="C19" s="38" t="s">
        <v>149</v>
      </c>
      <c r="D19" s="26">
        <f>IF(C19="无",0,IF(C19="轻微",15,IF(C19="严重",40)))</f>
        <v>15</v>
      </c>
      <c r="E19" s="39">
        <f t="shared" si="6"/>
        <v>1</v>
      </c>
      <c r="F19" s="39">
        <f t="shared" si="7"/>
        <v>15</v>
      </c>
      <c r="G19" s="39">
        <f t="shared" si="8"/>
        <v>1</v>
      </c>
      <c r="H19" s="108"/>
      <c r="I19" s="108"/>
      <c r="J19" s="108"/>
      <c r="K19" s="108"/>
      <c r="L19" s="10"/>
      <c r="M19" s="10"/>
      <c r="N19" s="10"/>
      <c r="O19" s="10"/>
      <c r="P19" s="10"/>
    </row>
    <row r="20" spans="1:18" ht="13.5" customHeight="1">
      <c r="A20" s="108"/>
      <c r="B20" s="12" t="s">
        <v>36</v>
      </c>
      <c r="C20" s="38" t="s">
        <v>30</v>
      </c>
      <c r="D20" s="26">
        <f>IF(C20="无",0,IF(C20="非贯通",25,IF(C20="贯通",30)))</f>
        <v>0</v>
      </c>
      <c r="E20" s="39">
        <f t="shared" si="6"/>
        <v>0</v>
      </c>
      <c r="F20" s="39">
        <f t="shared" si="7"/>
        <v>0</v>
      </c>
      <c r="G20" s="39">
        <f t="shared" si="8"/>
        <v>0</v>
      </c>
      <c r="H20" s="108"/>
      <c r="I20" s="108"/>
      <c r="J20" s="108"/>
      <c r="K20" s="108"/>
      <c r="L20" s="10"/>
      <c r="M20" s="10"/>
      <c r="N20" s="10"/>
      <c r="O20" s="10"/>
      <c r="P20" s="10"/>
    </row>
    <row r="21" spans="1:18" ht="13.5" customHeight="1">
      <c r="A21" s="109"/>
      <c r="B21" s="12" t="s">
        <v>150</v>
      </c>
      <c r="C21" s="38" t="s">
        <v>30</v>
      </c>
      <c r="D21" s="26">
        <f>IF(C21="无",0,IF(C21="明显",35,IF(C21="严重(*)",80)))</f>
        <v>0</v>
      </c>
      <c r="E21" s="39">
        <f t="shared" si="6"/>
        <v>0</v>
      </c>
      <c r="F21" s="39">
        <f t="shared" si="7"/>
        <v>0</v>
      </c>
      <c r="G21" s="39">
        <f t="shared" si="8"/>
        <v>0</v>
      </c>
      <c r="H21" s="109"/>
      <c r="I21" s="109"/>
      <c r="J21" s="109"/>
      <c r="K21" s="109"/>
      <c r="L21" s="10"/>
      <c r="M21" s="10"/>
      <c r="N21" s="10"/>
      <c r="O21" s="10"/>
      <c r="P21" s="10"/>
    </row>
    <row r="22" spans="1:18" ht="13.5" customHeight="1">
      <c r="A22" s="166" t="s">
        <v>151</v>
      </c>
      <c r="B22" s="12" t="s">
        <v>37</v>
      </c>
      <c r="C22" s="38" t="s">
        <v>30</v>
      </c>
      <c r="D22" s="26">
        <f>IF(C22="无",0,IF(C22="非贯通",25,IF(C22="贯通",45)))</f>
        <v>0</v>
      </c>
      <c r="E22" s="39">
        <f t="shared" si="6"/>
        <v>0</v>
      </c>
      <c r="F22" s="39">
        <f t="shared" si="7"/>
        <v>0</v>
      </c>
      <c r="G22" s="39">
        <f t="shared" ref="G22:G27" si="9">IF(SUM(D$22:D$27)=0,0,D22/(SUM(D$22:D$27)))</f>
        <v>0</v>
      </c>
      <c r="H22" s="166">
        <f>MAX(D22:D27)</f>
        <v>10</v>
      </c>
      <c r="I22" s="162">
        <f>SUM(F22:F27)</f>
        <v>10</v>
      </c>
      <c r="J22" s="169">
        <f>IF(I22&lt;H22,H22,IF(I22&gt;=100,"100",IF(I22&gt;=H22,I22)))</f>
        <v>10</v>
      </c>
      <c r="K22" s="169">
        <f>100-J22</f>
        <v>90</v>
      </c>
      <c r="L22" s="10"/>
      <c r="M22" s="10"/>
      <c r="N22" s="10"/>
      <c r="O22" s="10"/>
      <c r="P22" s="10"/>
    </row>
    <row r="23" spans="1:18" ht="13.5" customHeight="1">
      <c r="A23" s="108"/>
      <c r="B23" s="12" t="s">
        <v>152</v>
      </c>
      <c r="C23" s="28" t="s">
        <v>30</v>
      </c>
      <c r="D23" s="26">
        <f>IF(C23="无",0,IF(C23="&lt;5%",10,IF(C23="5%~10%",15,IF(C23="&gt;10%",30))))</f>
        <v>0</v>
      </c>
      <c r="E23" s="39">
        <f t="shared" si="6"/>
        <v>0</v>
      </c>
      <c r="F23" s="39">
        <f t="shared" si="7"/>
        <v>0</v>
      </c>
      <c r="G23" s="39">
        <f t="shared" si="9"/>
        <v>0</v>
      </c>
      <c r="H23" s="108"/>
      <c r="I23" s="108"/>
      <c r="J23" s="108"/>
      <c r="K23" s="108"/>
      <c r="L23" s="10"/>
      <c r="M23" s="10"/>
      <c r="N23" s="10"/>
      <c r="O23" s="10"/>
      <c r="P23" s="10"/>
    </row>
    <row r="24" spans="1:18" ht="13.5" customHeight="1">
      <c r="A24" s="108"/>
      <c r="B24" s="12" t="s">
        <v>153</v>
      </c>
      <c r="C24" s="28" t="s">
        <v>30</v>
      </c>
      <c r="D24" s="26">
        <f>IF(C24="无",0,IF(C24="&lt;5%",15,IF(C24="5%~10%",30,IF(C24="&gt;10%",55))))</f>
        <v>0</v>
      </c>
      <c r="E24" s="39">
        <f t="shared" si="6"/>
        <v>0</v>
      </c>
      <c r="F24" s="39">
        <f t="shared" si="7"/>
        <v>0</v>
      </c>
      <c r="G24" s="39">
        <f t="shared" si="9"/>
        <v>0</v>
      </c>
      <c r="H24" s="108"/>
      <c r="I24" s="108"/>
      <c r="J24" s="108"/>
      <c r="K24" s="108"/>
      <c r="L24" s="10"/>
      <c r="M24" s="10"/>
      <c r="N24" s="10"/>
      <c r="O24" s="10"/>
      <c r="P24" s="10"/>
    </row>
    <row r="25" spans="1:18" ht="13.5" customHeight="1">
      <c r="A25" s="108"/>
      <c r="B25" s="12" t="s">
        <v>154</v>
      </c>
      <c r="C25" s="28" t="s">
        <v>30</v>
      </c>
      <c r="D25" s="26">
        <f>IF(C25="无",0,IF(C25="&lt;10%",15,IF(C25="10%~20%",25,IF(C25="&gt;20%",35))))</f>
        <v>0</v>
      </c>
      <c r="E25" s="39">
        <f t="shared" si="6"/>
        <v>0</v>
      </c>
      <c r="F25" s="39">
        <f t="shared" si="7"/>
        <v>0</v>
      </c>
      <c r="G25" s="39">
        <f t="shared" si="9"/>
        <v>0</v>
      </c>
      <c r="H25" s="108"/>
      <c r="I25" s="108"/>
      <c r="J25" s="108"/>
      <c r="K25" s="108"/>
      <c r="L25" s="10"/>
      <c r="M25" s="10"/>
      <c r="N25" s="10"/>
      <c r="O25" s="10"/>
      <c r="P25" s="10"/>
    </row>
    <row r="26" spans="1:18" ht="13.5" customHeight="1">
      <c r="A26" s="108"/>
      <c r="B26" s="12" t="s">
        <v>155</v>
      </c>
      <c r="C26" s="28" t="s">
        <v>156</v>
      </c>
      <c r="D26" s="26">
        <f>IF(C26="无",0,IF(C26="&lt;5%",10,IF(C26="5%~10%",20,IF(C26="&gt;10%",30))))</f>
        <v>10</v>
      </c>
      <c r="E26" s="39">
        <f t="shared" si="6"/>
        <v>1</v>
      </c>
      <c r="F26" s="39">
        <f t="shared" si="7"/>
        <v>10</v>
      </c>
      <c r="G26" s="39">
        <f t="shared" si="9"/>
        <v>1</v>
      </c>
      <c r="H26" s="108"/>
      <c r="I26" s="108"/>
      <c r="J26" s="108"/>
      <c r="K26" s="108"/>
      <c r="L26" s="10"/>
      <c r="M26" s="10"/>
      <c r="N26" s="10"/>
      <c r="O26" s="10"/>
      <c r="P26" s="10"/>
    </row>
    <row r="27" spans="1:18" ht="13.5" customHeight="1">
      <c r="A27" s="109"/>
      <c r="B27" s="12" t="s">
        <v>157</v>
      </c>
      <c r="C27" s="38" t="s">
        <v>30</v>
      </c>
      <c r="D27" s="26">
        <f>IF(C27="无",0,IF(C27="轻微",30,IF(C27="严重(*)",80)))</f>
        <v>0</v>
      </c>
      <c r="E27" s="39">
        <f t="shared" si="6"/>
        <v>0</v>
      </c>
      <c r="F27" s="39">
        <f t="shared" si="7"/>
        <v>0</v>
      </c>
      <c r="G27" s="39">
        <f t="shared" si="9"/>
        <v>0</v>
      </c>
      <c r="H27" s="109"/>
      <c r="I27" s="109"/>
      <c r="J27" s="109"/>
      <c r="K27" s="109"/>
      <c r="L27" s="10"/>
      <c r="M27" s="10"/>
      <c r="N27" s="10"/>
      <c r="O27" s="10"/>
      <c r="P27" s="10"/>
    </row>
    <row r="28" spans="1:18" ht="13.5" customHeight="1">
      <c r="A28" s="168" t="s">
        <v>158</v>
      </c>
      <c r="B28" s="47" t="s">
        <v>36</v>
      </c>
      <c r="C28" s="38" t="s">
        <v>30</v>
      </c>
      <c r="D28" s="26">
        <f>IF(C28="无",0,IF(C28="非贯通",25,IF(C28="贯通",30)))</f>
        <v>0</v>
      </c>
      <c r="E28" s="39">
        <f t="shared" si="6"/>
        <v>0</v>
      </c>
      <c r="F28" s="39">
        <f t="shared" si="7"/>
        <v>0</v>
      </c>
      <c r="G28" s="39">
        <f t="shared" ref="G28:G40" si="10">IF(SUM(D$28:D$40)=0,0,D28/(SUM(D$28:D$40)))</f>
        <v>0</v>
      </c>
      <c r="H28" s="165">
        <f>MAX(D28:D40)</f>
        <v>0</v>
      </c>
      <c r="I28" s="162">
        <f>SUM(F28:F40)</f>
        <v>0</v>
      </c>
      <c r="J28" s="162">
        <f>IF(I28&lt;H28,H28,IF(I28&gt;=100,"100",IF(I28&gt;=H28,I28)))</f>
        <v>0</v>
      </c>
      <c r="K28" s="162">
        <f>100-J28</f>
        <v>100</v>
      </c>
      <c r="L28" s="10"/>
      <c r="M28" s="10"/>
      <c r="N28" s="10"/>
      <c r="O28" s="10"/>
      <c r="P28" s="10"/>
    </row>
    <row r="29" spans="1:18" ht="13.5" customHeight="1">
      <c r="A29" s="108"/>
      <c r="B29" s="47" t="s">
        <v>159</v>
      </c>
      <c r="C29" s="38" t="s">
        <v>30</v>
      </c>
      <c r="D29" s="26">
        <f>IF(C29="无",0,IF(C29="轻微",40,IF(C29="严重",60)))</f>
        <v>0</v>
      </c>
      <c r="E29" s="39">
        <f t="shared" si="6"/>
        <v>0</v>
      </c>
      <c r="F29" s="39">
        <f t="shared" si="7"/>
        <v>0</v>
      </c>
      <c r="G29" s="39">
        <f t="shared" si="10"/>
        <v>0</v>
      </c>
      <c r="H29" s="108"/>
      <c r="I29" s="108"/>
      <c r="J29" s="108"/>
      <c r="K29" s="108"/>
      <c r="L29" s="10"/>
      <c r="M29" s="10"/>
      <c r="N29" s="10"/>
      <c r="O29" s="10"/>
      <c r="P29" s="10"/>
    </row>
    <row r="30" spans="1:18" ht="13.5" customHeight="1">
      <c r="A30" s="108"/>
      <c r="B30" s="47" t="s">
        <v>160</v>
      </c>
      <c r="C30" s="28" t="s">
        <v>30</v>
      </c>
      <c r="D30" s="26">
        <f>IF(C30="无",0,IF(C30="少量",15,IF(C30="大量",25)))</f>
        <v>0</v>
      </c>
      <c r="E30" s="39">
        <f t="shared" si="6"/>
        <v>0</v>
      </c>
      <c r="F30" s="39">
        <f t="shared" si="7"/>
        <v>0</v>
      </c>
      <c r="G30" s="39">
        <f t="shared" si="10"/>
        <v>0</v>
      </c>
      <c r="H30" s="108"/>
      <c r="I30" s="108"/>
      <c r="J30" s="108"/>
      <c r="K30" s="108"/>
      <c r="L30" s="10"/>
      <c r="M30" s="10"/>
      <c r="N30" s="10"/>
      <c r="O30" s="10"/>
      <c r="P30" s="10"/>
    </row>
    <row r="31" spans="1:18" ht="13.5" customHeight="1">
      <c r="A31" s="108"/>
      <c r="B31" s="47" t="s">
        <v>161</v>
      </c>
      <c r="C31" s="28" t="s">
        <v>30</v>
      </c>
      <c r="D31" s="26">
        <f>IF(C31="无",0,IF(C31="少量",30,IF(C31="大量",50)))</f>
        <v>0</v>
      </c>
      <c r="E31" s="39">
        <f t="shared" si="6"/>
        <v>0</v>
      </c>
      <c r="F31" s="39">
        <f t="shared" si="7"/>
        <v>0</v>
      </c>
      <c r="G31" s="39">
        <f t="shared" si="10"/>
        <v>0</v>
      </c>
      <c r="H31" s="108"/>
      <c r="I31" s="108"/>
      <c r="J31" s="108"/>
      <c r="K31" s="108"/>
      <c r="L31" s="10"/>
      <c r="M31" s="10"/>
      <c r="N31" s="10"/>
      <c r="O31" s="10"/>
      <c r="P31" s="10"/>
    </row>
    <row r="32" spans="1:18" ht="13.5" customHeight="1">
      <c r="A32" s="108"/>
      <c r="B32" s="47" t="s">
        <v>162</v>
      </c>
      <c r="C32" s="28" t="s">
        <v>30</v>
      </c>
      <c r="D32" s="26">
        <f>IF(C32="无",0,IF(C32="少量",15,IF(C32="大量",30)))</f>
        <v>0</v>
      </c>
      <c r="E32" s="39">
        <f t="shared" si="6"/>
        <v>0</v>
      </c>
      <c r="F32" s="39">
        <f t="shared" si="7"/>
        <v>0</v>
      </c>
      <c r="G32" s="39">
        <f t="shared" si="10"/>
        <v>0</v>
      </c>
      <c r="H32" s="108"/>
      <c r="I32" s="108"/>
      <c r="J32" s="108"/>
      <c r="K32" s="108"/>
      <c r="L32" s="10"/>
      <c r="M32" s="10"/>
      <c r="N32" s="10"/>
      <c r="O32" s="10"/>
      <c r="P32" s="10"/>
    </row>
    <row r="33" spans="1:16" ht="13.5" customHeight="1">
      <c r="A33" s="108"/>
      <c r="B33" s="47" t="s">
        <v>163</v>
      </c>
      <c r="C33" s="38" t="s">
        <v>30</v>
      </c>
      <c r="D33" s="26">
        <f>IF(C33="无",0,IF(C33="轻微",15,IF(C33="严重",40)))</f>
        <v>0</v>
      </c>
      <c r="E33" s="39">
        <f t="shared" si="6"/>
        <v>0</v>
      </c>
      <c r="F33" s="39">
        <f t="shared" si="7"/>
        <v>0</v>
      </c>
      <c r="G33" s="39">
        <f t="shared" si="10"/>
        <v>0</v>
      </c>
      <c r="H33" s="108"/>
      <c r="I33" s="108"/>
      <c r="J33" s="108"/>
      <c r="K33" s="108"/>
      <c r="L33" s="10"/>
      <c r="M33" s="10"/>
      <c r="N33" s="10"/>
      <c r="O33" s="10"/>
      <c r="P33" s="10"/>
    </row>
    <row r="34" spans="1:16" ht="13.5" customHeight="1">
      <c r="A34" s="108"/>
      <c r="B34" s="47" t="s">
        <v>164</v>
      </c>
      <c r="C34" s="28" t="s">
        <v>30</v>
      </c>
      <c r="D34" s="26">
        <f>IF(C34="无",0,IF(C34="&lt;3%",10,IF(C34="3%~10%",30,IF(C34="&gt;10%",65))))</f>
        <v>0</v>
      </c>
      <c r="E34" s="39">
        <f t="shared" si="6"/>
        <v>0</v>
      </c>
      <c r="F34" s="39">
        <f t="shared" si="7"/>
        <v>0</v>
      </c>
      <c r="G34" s="39">
        <f t="shared" si="10"/>
        <v>0</v>
      </c>
      <c r="H34" s="108"/>
      <c r="I34" s="108"/>
      <c r="J34" s="108"/>
      <c r="K34" s="108"/>
      <c r="L34" s="10"/>
      <c r="M34" s="10"/>
      <c r="N34" s="10"/>
      <c r="O34" s="10"/>
      <c r="P34" s="10"/>
    </row>
    <row r="35" spans="1:16" ht="13.5" customHeight="1">
      <c r="A35" s="108"/>
      <c r="B35" s="47" t="s">
        <v>165</v>
      </c>
      <c r="C35" s="38" t="s">
        <v>30</v>
      </c>
      <c r="D35" s="26">
        <f>IF(C35="无",0,IF(C35="轻微",20,IF(C35="严重",50)))</f>
        <v>0</v>
      </c>
      <c r="E35" s="39">
        <f t="shared" si="6"/>
        <v>0</v>
      </c>
      <c r="F35" s="39">
        <f t="shared" si="7"/>
        <v>0</v>
      </c>
      <c r="G35" s="39">
        <f t="shared" si="10"/>
        <v>0</v>
      </c>
      <c r="H35" s="108"/>
      <c r="I35" s="108"/>
      <c r="J35" s="108"/>
      <c r="K35" s="108"/>
      <c r="L35" s="10"/>
      <c r="M35" s="10"/>
      <c r="N35" s="10"/>
      <c r="O35" s="10"/>
      <c r="P35" s="10"/>
    </row>
    <row r="36" spans="1:16" ht="13.5" customHeight="1">
      <c r="A36" s="108"/>
      <c r="B36" s="47" t="s">
        <v>147</v>
      </c>
      <c r="C36" s="38" t="s">
        <v>30</v>
      </c>
      <c r="D36" s="26">
        <f>IF(C36="无",0,IF(C36="明显",35,IF(C36="严重",60)))</f>
        <v>0</v>
      </c>
      <c r="E36" s="39">
        <f t="shared" si="6"/>
        <v>0</v>
      </c>
      <c r="F36" s="39">
        <f t="shared" si="7"/>
        <v>0</v>
      </c>
      <c r="G36" s="39">
        <f t="shared" si="10"/>
        <v>0</v>
      </c>
      <c r="H36" s="108"/>
      <c r="I36" s="108"/>
      <c r="J36" s="108"/>
      <c r="K36" s="108"/>
      <c r="L36" s="10"/>
      <c r="M36" s="10"/>
      <c r="N36" s="10"/>
      <c r="O36" s="10"/>
      <c r="P36" s="10"/>
    </row>
    <row r="37" spans="1:16" ht="13.5" customHeight="1">
      <c r="A37" s="108"/>
      <c r="B37" s="47" t="s">
        <v>144</v>
      </c>
      <c r="C37" s="38" t="s">
        <v>30</v>
      </c>
      <c r="D37" s="26">
        <f>IF(C37="无",0,IF(C37="轻微",30,IF(C37="严重",45)))</f>
        <v>0</v>
      </c>
      <c r="E37" s="39">
        <f t="shared" si="6"/>
        <v>0</v>
      </c>
      <c r="F37" s="39">
        <f t="shared" si="7"/>
        <v>0</v>
      </c>
      <c r="G37" s="39">
        <f t="shared" si="10"/>
        <v>0</v>
      </c>
      <c r="H37" s="108"/>
      <c r="I37" s="108"/>
      <c r="J37" s="108"/>
      <c r="K37" s="108"/>
      <c r="L37" s="10"/>
      <c r="M37" s="10"/>
      <c r="N37" s="10"/>
      <c r="O37" s="10"/>
      <c r="P37" s="10"/>
    </row>
    <row r="38" spans="1:16" ht="13.5" customHeight="1">
      <c r="A38" s="108"/>
      <c r="B38" s="47" t="s">
        <v>145</v>
      </c>
      <c r="C38" s="38" t="s">
        <v>30</v>
      </c>
      <c r="D38" s="26">
        <f>IF(C38="无",0,IF(C38="轻微",35,IF(C38="严重",70)))</f>
        <v>0</v>
      </c>
      <c r="E38" s="39">
        <f t="shared" si="6"/>
        <v>0</v>
      </c>
      <c r="F38" s="39">
        <f t="shared" si="7"/>
        <v>0</v>
      </c>
      <c r="G38" s="39">
        <f t="shared" si="10"/>
        <v>0</v>
      </c>
      <c r="H38" s="108"/>
      <c r="I38" s="108"/>
      <c r="J38" s="108"/>
      <c r="K38" s="108"/>
      <c r="L38" s="10"/>
      <c r="M38" s="10"/>
      <c r="N38" s="10"/>
      <c r="O38" s="10"/>
      <c r="P38" s="10"/>
    </row>
    <row r="39" spans="1:16" ht="13.5" customHeight="1">
      <c r="A39" s="108"/>
      <c r="B39" s="47" t="s">
        <v>166</v>
      </c>
      <c r="C39" s="28" t="s">
        <v>30</v>
      </c>
      <c r="D39" s="26">
        <f>IF(C39="无",0,IF(C39="&lt;5%",10,IF(C39="5%~10%",30,IF(C39="&gt;10%",65))))</f>
        <v>0</v>
      </c>
      <c r="E39" s="39">
        <f t="shared" si="6"/>
        <v>0</v>
      </c>
      <c r="F39" s="39">
        <f t="shared" si="7"/>
        <v>0</v>
      </c>
      <c r="G39" s="39">
        <f t="shared" si="10"/>
        <v>0</v>
      </c>
      <c r="H39" s="108"/>
      <c r="I39" s="108"/>
      <c r="J39" s="108"/>
      <c r="K39" s="108"/>
      <c r="L39" s="10"/>
      <c r="M39" s="10"/>
      <c r="N39" s="10"/>
      <c r="O39" s="10"/>
      <c r="P39" s="10"/>
    </row>
    <row r="40" spans="1:16" ht="13.5" customHeight="1">
      <c r="A40" s="109"/>
      <c r="B40" s="47" t="s">
        <v>148</v>
      </c>
      <c r="C40" s="38" t="s">
        <v>30</v>
      </c>
      <c r="D40" s="26">
        <f>IF(C40="无",0,IF(C40="轻微",15,IF(C40="严重",40)))</f>
        <v>0</v>
      </c>
      <c r="E40" s="39">
        <f t="shared" si="6"/>
        <v>0</v>
      </c>
      <c r="F40" s="39">
        <f t="shared" si="7"/>
        <v>0</v>
      </c>
      <c r="G40" s="39">
        <f t="shared" si="10"/>
        <v>0</v>
      </c>
      <c r="H40" s="109"/>
      <c r="I40" s="109"/>
      <c r="J40" s="109"/>
      <c r="K40" s="109"/>
      <c r="L40" s="10"/>
      <c r="M40" s="10"/>
      <c r="N40" s="10"/>
      <c r="O40" s="10"/>
      <c r="P40" s="10"/>
    </row>
    <row r="41" spans="1:16" ht="13.5" customHeight="1">
      <c r="A41" s="112" t="s">
        <v>167</v>
      </c>
      <c r="B41" s="37" t="s">
        <v>168</v>
      </c>
      <c r="C41" s="28" t="s">
        <v>30</v>
      </c>
      <c r="D41" s="44">
        <f>IF(C41="无",0,IF(C41="&lt;10%",15,IF(C41="10%~20%",25,IF(C41="&gt;20%",35))))</f>
        <v>0</v>
      </c>
      <c r="E41" s="39">
        <f t="shared" si="6"/>
        <v>0</v>
      </c>
      <c r="F41" s="39">
        <f t="shared" si="7"/>
        <v>0</v>
      </c>
      <c r="G41" s="39">
        <f>IF(SUM(D$41:D$45)=0,0,D41/(SUM(D$41:D$45)))</f>
        <v>0</v>
      </c>
      <c r="H41" s="166">
        <f>MAX(D41:D45)</f>
        <v>0</v>
      </c>
      <c r="I41" s="162">
        <f>SUM(F41:F45)</f>
        <v>0</v>
      </c>
      <c r="J41" s="166">
        <f>IF(I41&lt;H41,H41,IF(I41&gt;=100,"100",IF(I41&gt;=H41,I41)))</f>
        <v>0</v>
      </c>
      <c r="K41" s="166">
        <f>100-J41</f>
        <v>100</v>
      </c>
      <c r="L41" s="10"/>
      <c r="M41" s="10"/>
      <c r="N41" s="10"/>
      <c r="O41" s="10"/>
      <c r="P41" s="10"/>
    </row>
    <row r="42" spans="1:16" ht="13.5" customHeight="1">
      <c r="A42" s="108"/>
      <c r="B42" s="37" t="s">
        <v>169</v>
      </c>
      <c r="C42" s="28" t="s">
        <v>30</v>
      </c>
      <c r="D42" s="44">
        <f>IF(C42="无",0,IF(C42="&lt;10%",10,IF(C42="10%~20%",20,IF(C42="&gt;20%",30))))</f>
        <v>0</v>
      </c>
      <c r="E42" s="39">
        <f t="shared" si="6"/>
        <v>0</v>
      </c>
      <c r="F42" s="39">
        <f t="shared" si="7"/>
        <v>0</v>
      </c>
      <c r="G42" s="39">
        <f>IF(SUM(D$41:D$45)=0,0,D42/(SUM(D$41:D$45)))</f>
        <v>0</v>
      </c>
      <c r="H42" s="108"/>
      <c r="I42" s="108"/>
      <c r="J42" s="108"/>
      <c r="K42" s="108"/>
      <c r="L42" s="10"/>
      <c r="M42" s="10"/>
      <c r="N42" s="10"/>
      <c r="O42" s="10"/>
      <c r="P42" s="10"/>
    </row>
    <row r="43" spans="1:16" ht="13.5" customHeight="1">
      <c r="A43" s="108"/>
      <c r="B43" s="37" t="s">
        <v>170</v>
      </c>
      <c r="C43" s="28" t="s">
        <v>30</v>
      </c>
      <c r="D43" s="44">
        <f>IF(C43="无",0,IF(C43="&lt;5%",15,IF(C43="5%~10%",25,IF(C43="&gt;10%",35))))</f>
        <v>0</v>
      </c>
      <c r="E43" s="39">
        <f t="shared" si="6"/>
        <v>0</v>
      </c>
      <c r="F43" s="39">
        <f t="shared" si="7"/>
        <v>0</v>
      </c>
      <c r="G43" s="39">
        <f>IF(SUM(D$41:D$45)=0,0,D43/(SUM(D$41:D$45)))</f>
        <v>0</v>
      </c>
      <c r="H43" s="108"/>
      <c r="I43" s="108"/>
      <c r="J43" s="108"/>
      <c r="K43" s="108"/>
      <c r="L43" s="10"/>
      <c r="M43" s="10"/>
      <c r="N43" s="10"/>
      <c r="O43" s="10"/>
      <c r="P43" s="10"/>
    </row>
    <row r="44" spans="1:16" ht="13.5" customHeight="1">
      <c r="A44" s="108"/>
      <c r="B44" s="37" t="s">
        <v>171</v>
      </c>
      <c r="C44" s="28" t="s">
        <v>30</v>
      </c>
      <c r="D44" s="44">
        <f>IF(C44="无",0,IF(C44="&lt;5%",20,IF(C44="5%~10%",30,IF(C44="&gt;10%",50))))</f>
        <v>0</v>
      </c>
      <c r="E44" s="39">
        <f t="shared" si="6"/>
        <v>0</v>
      </c>
      <c r="F44" s="39">
        <f t="shared" si="7"/>
        <v>0</v>
      </c>
      <c r="G44" s="39">
        <f>IF(SUM(D$41:D$45)=0,0,D44/(SUM(D$41:D$45)))</f>
        <v>0</v>
      </c>
      <c r="H44" s="108"/>
      <c r="I44" s="108"/>
      <c r="J44" s="108"/>
      <c r="K44" s="108"/>
      <c r="L44" s="10"/>
      <c r="M44" s="10"/>
      <c r="N44" s="10"/>
      <c r="O44" s="10"/>
      <c r="P44" s="10"/>
    </row>
    <row r="45" spans="1:16" ht="13.5" customHeight="1">
      <c r="A45" s="109"/>
      <c r="B45" s="37" t="s">
        <v>37</v>
      </c>
      <c r="C45" s="38" t="s">
        <v>30</v>
      </c>
      <c r="D45" s="44">
        <f>IF(C45="无",0,IF(C45="非贯通",25,IF(C45="贯通",45)))</f>
        <v>0</v>
      </c>
      <c r="E45" s="39">
        <f t="shared" si="6"/>
        <v>0</v>
      </c>
      <c r="F45" s="39">
        <f t="shared" si="7"/>
        <v>0</v>
      </c>
      <c r="G45" s="39">
        <f>IF(SUM(D$41:D$45)=0,0,D45/(SUM(D$41:D$45)))</f>
        <v>0</v>
      </c>
      <c r="H45" s="109"/>
      <c r="I45" s="109"/>
      <c r="J45" s="109"/>
      <c r="K45" s="109"/>
      <c r="L45" s="10"/>
      <c r="M45" s="10"/>
      <c r="N45" s="10"/>
      <c r="O45" s="10"/>
      <c r="P45" s="10"/>
    </row>
    <row r="46" spans="1:16" ht="13.5" customHeight="1">
      <c r="A46" s="112" t="s">
        <v>172</v>
      </c>
      <c r="B46" s="47" t="s">
        <v>173</v>
      </c>
      <c r="C46" s="38" t="s">
        <v>30</v>
      </c>
      <c r="D46" s="26">
        <f>IF(C46="无",0,IF(C46="轻微",15,IF(C46="严重",40)))</f>
        <v>0</v>
      </c>
      <c r="E46" s="39">
        <f t="shared" ref="E46:E77" si="11">IF(D46=0,0,3*POWER(G46,3)-5.5*POWER(G46,2)+3.5*G46)</f>
        <v>0</v>
      </c>
      <c r="F46" s="39">
        <f t="shared" ref="F46:F77" si="12">D46*E46</f>
        <v>0</v>
      </c>
      <c r="G46" s="39">
        <f>IF(SUM(D$46:D$50)=0,0,D46/(SUM(D$46:D$50)))</f>
        <v>0</v>
      </c>
      <c r="H46" s="166">
        <f>MAX(D46:D50)</f>
        <v>0</v>
      </c>
      <c r="I46" s="162">
        <f>SUM(F46:F50)</f>
        <v>0</v>
      </c>
      <c r="J46" s="166">
        <f>IF(I46&lt;H46,H46,IF(I46&gt;=100,"100",IF(I46&gt;=H46,I46)))</f>
        <v>0</v>
      </c>
      <c r="K46" s="166">
        <f>100-J46</f>
        <v>100</v>
      </c>
      <c r="L46" s="10"/>
      <c r="M46" s="10"/>
      <c r="N46" s="10"/>
      <c r="O46" s="10"/>
      <c r="P46" s="10"/>
    </row>
    <row r="47" spans="1:16" ht="13.5" customHeight="1">
      <c r="A47" s="108"/>
      <c r="B47" s="47" t="s">
        <v>174</v>
      </c>
      <c r="C47" s="38" t="s">
        <v>30</v>
      </c>
      <c r="D47" s="26">
        <f>IF(C47="无",0,IF(C47="轻微",25,IF(C47="严重",45)))</f>
        <v>0</v>
      </c>
      <c r="E47" s="39">
        <f t="shared" si="11"/>
        <v>0</v>
      </c>
      <c r="F47" s="39">
        <f t="shared" si="12"/>
        <v>0</v>
      </c>
      <c r="G47" s="39">
        <f>IF(SUM(D$46:D$50)=0,0,D47/(SUM(D$46:D$50)))</f>
        <v>0</v>
      </c>
      <c r="H47" s="108"/>
      <c r="I47" s="108"/>
      <c r="J47" s="108"/>
      <c r="K47" s="108"/>
      <c r="L47" s="10"/>
      <c r="M47" s="10"/>
      <c r="N47" s="10"/>
      <c r="O47" s="10"/>
      <c r="P47" s="10"/>
    </row>
    <row r="48" spans="1:16" ht="13.5" customHeight="1">
      <c r="A48" s="108"/>
      <c r="B48" s="47" t="s">
        <v>160</v>
      </c>
      <c r="C48" s="28" t="s">
        <v>30</v>
      </c>
      <c r="D48" s="26">
        <f>IF(C48="无",0,IF(C48="少量",15,IF(C48="严重",25)))</f>
        <v>0</v>
      </c>
      <c r="E48" s="39">
        <f t="shared" si="11"/>
        <v>0</v>
      </c>
      <c r="F48" s="39">
        <f t="shared" si="12"/>
        <v>0</v>
      </c>
      <c r="G48" s="39">
        <f>IF(SUM(D$46:D$50)=0,0,D48/(SUM(D$46:D$50)))</f>
        <v>0</v>
      </c>
      <c r="H48" s="108"/>
      <c r="I48" s="108"/>
      <c r="J48" s="108"/>
      <c r="K48" s="108"/>
      <c r="L48" s="10"/>
      <c r="M48" s="10"/>
      <c r="N48" s="10"/>
      <c r="O48" s="10"/>
      <c r="P48" s="10"/>
    </row>
    <row r="49" spans="1:16" ht="13.5" customHeight="1">
      <c r="A49" s="108"/>
      <c r="B49" s="47" t="s">
        <v>161</v>
      </c>
      <c r="C49" s="28" t="s">
        <v>30</v>
      </c>
      <c r="D49" s="26">
        <f>IF(C49="无",0,IF(C49="少量",25,IF(C49="大量",45)))</f>
        <v>0</v>
      </c>
      <c r="E49" s="39">
        <f t="shared" si="11"/>
        <v>0</v>
      </c>
      <c r="F49" s="39">
        <f t="shared" si="12"/>
        <v>0</v>
      </c>
      <c r="G49" s="39">
        <f>IF(SUM(D$46:D$50)=0,0,D49/(SUM(D$46:D$50)))</f>
        <v>0</v>
      </c>
      <c r="H49" s="108"/>
      <c r="I49" s="108"/>
      <c r="J49" s="108"/>
      <c r="K49" s="108"/>
      <c r="L49" s="10"/>
      <c r="M49" s="10"/>
      <c r="N49" s="10"/>
      <c r="O49" s="10"/>
      <c r="P49" s="10"/>
    </row>
    <row r="50" spans="1:16" ht="13.5" customHeight="1">
      <c r="A50" s="109"/>
      <c r="B50" s="47" t="s">
        <v>162</v>
      </c>
      <c r="C50" s="28" t="s">
        <v>30</v>
      </c>
      <c r="D50" s="26">
        <f>IF(C50="无",0,IF(C50="少量",15,IF(C50="大量",30)))</f>
        <v>0</v>
      </c>
      <c r="E50" s="39">
        <f t="shared" si="11"/>
        <v>0</v>
      </c>
      <c r="F50" s="39">
        <f t="shared" si="12"/>
        <v>0</v>
      </c>
      <c r="G50" s="39">
        <f>IF(SUM(D$46:D$50)=0,0,D50/(SUM(D$46:D$50)))</f>
        <v>0</v>
      </c>
      <c r="H50" s="109"/>
      <c r="I50" s="109"/>
      <c r="J50" s="109"/>
      <c r="K50" s="109"/>
      <c r="L50" s="10"/>
      <c r="M50" s="10"/>
      <c r="N50" s="10"/>
      <c r="O50" s="10"/>
      <c r="P50" s="10"/>
    </row>
    <row r="51" spans="1:16" ht="13.5" customHeight="1">
      <c r="A51" s="112" t="s">
        <v>175</v>
      </c>
      <c r="B51" s="47" t="s">
        <v>176</v>
      </c>
      <c r="C51" s="38" t="s">
        <v>30</v>
      </c>
      <c r="D51" s="26">
        <f>IF(C51="无",0,IF(C51="轻微",15,IF(C51="严重",40)))</f>
        <v>0</v>
      </c>
      <c r="E51" s="39">
        <f t="shared" si="11"/>
        <v>0</v>
      </c>
      <c r="F51" s="39">
        <f t="shared" si="12"/>
        <v>0</v>
      </c>
      <c r="G51" s="39">
        <f t="shared" ref="G51:G56" si="13">IF(SUM(D$51:D$56)=0,0,D51/(SUM(D$51:D$56)))</f>
        <v>0</v>
      </c>
      <c r="H51" s="166">
        <f>MAX(D51:D56)</f>
        <v>0</v>
      </c>
      <c r="I51" s="162">
        <f>SUM(F51:F56)</f>
        <v>0</v>
      </c>
      <c r="J51" s="162">
        <f>IF(I51&lt;H51,H51,IF(I51&gt;=100,"100",IF(I51&gt;=H51,I51)))</f>
        <v>0</v>
      </c>
      <c r="K51" s="162">
        <f>100-J51</f>
        <v>100</v>
      </c>
      <c r="L51" s="10"/>
      <c r="M51" s="10"/>
      <c r="N51" s="10"/>
      <c r="O51" s="10"/>
      <c r="P51" s="10"/>
    </row>
    <row r="52" spans="1:16" ht="13.5" customHeight="1">
      <c r="A52" s="108"/>
      <c r="B52" s="47" t="s">
        <v>177</v>
      </c>
      <c r="C52" s="28" t="s">
        <v>30</v>
      </c>
      <c r="D52" s="26">
        <f>IF(C52="无",0,IF(C52="少量",15,IF(C52="大量",40)))</f>
        <v>0</v>
      </c>
      <c r="E52" s="39">
        <f t="shared" si="11"/>
        <v>0</v>
      </c>
      <c r="F52" s="39">
        <f t="shared" si="12"/>
        <v>0</v>
      </c>
      <c r="G52" s="39">
        <f t="shared" si="13"/>
        <v>0</v>
      </c>
      <c r="H52" s="108"/>
      <c r="I52" s="108"/>
      <c r="J52" s="108"/>
      <c r="K52" s="108"/>
      <c r="L52" s="10"/>
      <c r="M52" s="10"/>
      <c r="N52" s="10"/>
      <c r="O52" s="10"/>
      <c r="P52" s="10"/>
    </row>
    <row r="53" spans="1:16" ht="13.5" customHeight="1">
      <c r="A53" s="108"/>
      <c r="B53" s="47" t="s">
        <v>144</v>
      </c>
      <c r="C53" s="38" t="s">
        <v>30</v>
      </c>
      <c r="D53" s="26">
        <f>IF(C53="无",0,IF(C53="轻微",25,IF(C53="严重",45)))</f>
        <v>0</v>
      </c>
      <c r="E53" s="39">
        <f t="shared" si="11"/>
        <v>0</v>
      </c>
      <c r="F53" s="39">
        <f t="shared" si="12"/>
        <v>0</v>
      </c>
      <c r="G53" s="39">
        <f t="shared" si="13"/>
        <v>0</v>
      </c>
      <c r="H53" s="108"/>
      <c r="I53" s="108"/>
      <c r="J53" s="108"/>
      <c r="K53" s="108"/>
      <c r="L53" s="10"/>
      <c r="M53" s="10"/>
      <c r="N53" s="10"/>
      <c r="O53" s="10"/>
      <c r="P53" s="10"/>
    </row>
    <row r="54" spans="1:16" ht="13.5" customHeight="1">
      <c r="A54" s="108"/>
      <c r="B54" s="47" t="s">
        <v>145</v>
      </c>
      <c r="C54" s="38" t="s">
        <v>30</v>
      </c>
      <c r="D54" s="26">
        <f>IF(C54="无",0,IF(C54="轻微",30,IF(C54="严重",60)))</f>
        <v>0</v>
      </c>
      <c r="E54" s="39">
        <f t="shared" si="11"/>
        <v>0</v>
      </c>
      <c r="F54" s="39">
        <f t="shared" si="12"/>
        <v>0</v>
      </c>
      <c r="G54" s="39">
        <f t="shared" si="13"/>
        <v>0</v>
      </c>
      <c r="H54" s="108"/>
      <c r="I54" s="108"/>
      <c r="J54" s="108"/>
      <c r="K54" s="108"/>
      <c r="L54" s="10"/>
      <c r="M54" s="10"/>
      <c r="N54" s="10"/>
      <c r="O54" s="10"/>
      <c r="P54" s="10"/>
    </row>
    <row r="55" spans="1:16" ht="13.5" customHeight="1">
      <c r="A55" s="108"/>
      <c r="B55" s="47" t="s">
        <v>147</v>
      </c>
      <c r="C55" s="38" t="s">
        <v>30</v>
      </c>
      <c r="D55" s="26">
        <f>IF(C55="无",0,IF(C55="明显",35,IF(C55="严重",70)))</f>
        <v>0</v>
      </c>
      <c r="E55" s="39">
        <f t="shared" si="11"/>
        <v>0</v>
      </c>
      <c r="F55" s="39">
        <f t="shared" si="12"/>
        <v>0</v>
      </c>
      <c r="G55" s="39">
        <f t="shared" si="13"/>
        <v>0</v>
      </c>
      <c r="H55" s="108"/>
      <c r="I55" s="108"/>
      <c r="J55" s="108"/>
      <c r="K55" s="108"/>
      <c r="L55" s="10"/>
      <c r="M55" s="10"/>
      <c r="N55" s="10"/>
      <c r="O55" s="10"/>
      <c r="P55" s="10"/>
    </row>
    <row r="56" spans="1:16" ht="13.5" customHeight="1">
      <c r="A56" s="109"/>
      <c r="B56" s="47" t="s">
        <v>148</v>
      </c>
      <c r="C56" s="38" t="s">
        <v>30</v>
      </c>
      <c r="D56" s="26">
        <f>IF(C56="无",0,IF(C56="轻微",15,IF(C56="严重",40)))</f>
        <v>0</v>
      </c>
      <c r="E56" s="39">
        <f t="shared" si="11"/>
        <v>0</v>
      </c>
      <c r="F56" s="39">
        <f t="shared" si="12"/>
        <v>0</v>
      </c>
      <c r="G56" s="39">
        <f t="shared" si="13"/>
        <v>0</v>
      </c>
      <c r="H56" s="109"/>
      <c r="I56" s="109"/>
      <c r="J56" s="109"/>
      <c r="K56" s="109"/>
      <c r="L56" s="10"/>
      <c r="M56" s="10"/>
      <c r="N56" s="10"/>
      <c r="O56" s="10"/>
      <c r="P56" s="10"/>
    </row>
    <row r="57" spans="1:16" ht="13.5" customHeight="1">
      <c r="A57" s="112" t="s">
        <v>178</v>
      </c>
      <c r="B57" s="37" t="s">
        <v>62</v>
      </c>
      <c r="C57" s="38" t="s">
        <v>30</v>
      </c>
      <c r="D57" s="44">
        <f>IF(C57="无",0,IF(C57="轻微",10,IF(C57="中等",30,IF(C57="严重(*)",80))))</f>
        <v>0</v>
      </c>
      <c r="E57" s="39">
        <f t="shared" si="11"/>
        <v>0</v>
      </c>
      <c r="F57" s="39">
        <f t="shared" si="12"/>
        <v>0</v>
      </c>
      <c r="G57" s="39">
        <f>IF(SUM(D$57:D$59)=0,0,D57/(SUM(D$57:D$59)))</f>
        <v>0</v>
      </c>
      <c r="H57" s="110">
        <f>MAX(F57:F59)</f>
        <v>0</v>
      </c>
      <c r="I57" s="110">
        <f>SUM(F57:F59)</f>
        <v>0</v>
      </c>
      <c r="J57" s="107">
        <f>IF(I57&lt;H57,H57,IF(I57&gt;=100,"100",IF(I57&gt;=H57,I57)))</f>
        <v>0</v>
      </c>
      <c r="K57" s="111">
        <f>100-J57</f>
        <v>100</v>
      </c>
      <c r="L57" s="10"/>
      <c r="M57" s="10"/>
      <c r="N57" s="10"/>
      <c r="O57" s="10"/>
      <c r="P57" s="10"/>
    </row>
    <row r="58" spans="1:16" ht="13.5" customHeight="1">
      <c r="A58" s="108"/>
      <c r="B58" s="37" t="s">
        <v>63</v>
      </c>
      <c r="C58" s="38" t="s">
        <v>30</v>
      </c>
      <c r="D58" s="44">
        <f>IF(C58="无",0,IF(C58="轻微",10,IF(C58="中等",30,IF(C58="严重(*)",80))))</f>
        <v>0</v>
      </c>
      <c r="E58" s="39">
        <f t="shared" si="11"/>
        <v>0</v>
      </c>
      <c r="F58" s="39">
        <f t="shared" si="12"/>
        <v>0</v>
      </c>
      <c r="G58" s="39">
        <f>IF(SUM(D$57:D$59)=0,0,D58/(SUM(D$57:D$59)))</f>
        <v>0</v>
      </c>
      <c r="H58" s="108"/>
      <c r="I58" s="108"/>
      <c r="J58" s="108"/>
      <c r="K58" s="108"/>
      <c r="L58" s="10"/>
      <c r="M58" s="10"/>
      <c r="N58" s="10"/>
      <c r="O58" s="10"/>
      <c r="P58" s="10"/>
    </row>
    <row r="59" spans="1:16" ht="13.5" customHeight="1">
      <c r="A59" s="109"/>
      <c r="B59" s="47" t="s">
        <v>179</v>
      </c>
      <c r="C59" s="38" t="s">
        <v>30</v>
      </c>
      <c r="D59" s="44">
        <f>IF(C59="无",0,IF(C59="轻微",15,IF(C59="明显",40)))</f>
        <v>0</v>
      </c>
      <c r="E59" s="39">
        <f t="shared" si="11"/>
        <v>0</v>
      </c>
      <c r="F59" s="39">
        <f t="shared" si="12"/>
        <v>0</v>
      </c>
      <c r="G59" s="39">
        <f>IF(SUM(D$57:D$59)=0,0,D59/(SUM(D$57:D$59)))</f>
        <v>0</v>
      </c>
      <c r="H59" s="109"/>
      <c r="I59" s="109"/>
      <c r="J59" s="109"/>
      <c r="K59" s="109"/>
      <c r="L59" s="10"/>
      <c r="M59" s="10"/>
      <c r="N59" s="10"/>
      <c r="O59" s="10"/>
      <c r="P59" s="10"/>
    </row>
    <row r="60" spans="1:16" ht="13.5" customHeight="1">
      <c r="A60" s="168" t="s">
        <v>180</v>
      </c>
      <c r="B60" s="47" t="s">
        <v>181</v>
      </c>
      <c r="C60" s="38" t="s">
        <v>182</v>
      </c>
      <c r="D60" s="26">
        <f>IF(C60="无",0,IF(C60="&lt;30%",15,IF(C60="&gt;30%",30)))</f>
        <v>15</v>
      </c>
      <c r="E60" s="39">
        <f t="shared" si="11"/>
        <v>0.66666666666666652</v>
      </c>
      <c r="F60" s="39">
        <f t="shared" si="12"/>
        <v>9.9999999999999982</v>
      </c>
      <c r="G60" s="39">
        <f t="shared" ref="G60:G69" si="14">IF(SUM(D$60:D$69)=0,0,D60/(SUM(D$60:D$69)))</f>
        <v>0.33333333333333331</v>
      </c>
      <c r="H60" s="165">
        <f>MAX(D60:D69)</f>
        <v>30</v>
      </c>
      <c r="I60" s="162">
        <f>SUM(F60:F69)</f>
        <v>33.333333333333329</v>
      </c>
      <c r="J60" s="162">
        <f>IF(I60&lt;H60,H60,IF(I60&gt;=100,"100",IF(I60&gt;=H60,I60)))</f>
        <v>33.333333333333329</v>
      </c>
      <c r="K60" s="162">
        <f>100-J60</f>
        <v>66.666666666666671</v>
      </c>
      <c r="L60" s="10"/>
      <c r="M60" s="10"/>
      <c r="N60" s="10"/>
      <c r="O60" s="10"/>
      <c r="P60" s="10"/>
    </row>
    <row r="61" spans="1:16" ht="13.5" customHeight="1">
      <c r="A61" s="108"/>
      <c r="B61" s="47" t="s">
        <v>183</v>
      </c>
      <c r="C61" s="38" t="s">
        <v>30</v>
      </c>
      <c r="D61" s="26">
        <f>IF(C61="无",0,IF(C61="&lt;10%",20,IF(C61="&gt;10%",40)))</f>
        <v>0</v>
      </c>
      <c r="E61" s="39">
        <f t="shared" si="11"/>
        <v>0</v>
      </c>
      <c r="F61" s="39">
        <f t="shared" si="12"/>
        <v>0</v>
      </c>
      <c r="G61" s="39">
        <f t="shared" si="14"/>
        <v>0</v>
      </c>
      <c r="H61" s="108"/>
      <c r="I61" s="108"/>
      <c r="J61" s="108"/>
      <c r="K61" s="108"/>
      <c r="L61" s="10"/>
      <c r="M61" s="10"/>
      <c r="N61" s="10"/>
      <c r="O61" s="10"/>
      <c r="P61" s="10"/>
    </row>
    <row r="62" spans="1:16" ht="13.5" customHeight="1">
      <c r="A62" s="108"/>
      <c r="B62" s="47" t="s">
        <v>184</v>
      </c>
      <c r="C62" s="38" t="s">
        <v>30</v>
      </c>
      <c r="D62" s="26">
        <f>IF(C62="无",0,IF(C62="&lt;10%",25,IF(C62="&gt;10%",45)))</f>
        <v>0</v>
      </c>
      <c r="E62" s="39">
        <f t="shared" si="11"/>
        <v>0</v>
      </c>
      <c r="F62" s="39">
        <f t="shared" si="12"/>
        <v>0</v>
      </c>
      <c r="G62" s="39">
        <f t="shared" si="14"/>
        <v>0</v>
      </c>
      <c r="H62" s="108"/>
      <c r="I62" s="108"/>
      <c r="J62" s="108"/>
      <c r="K62" s="108"/>
      <c r="L62" s="10"/>
      <c r="M62" s="10"/>
      <c r="N62" s="10"/>
      <c r="O62" s="10"/>
      <c r="P62" s="10"/>
    </row>
    <row r="63" spans="1:16" ht="13.5" customHeight="1">
      <c r="A63" s="108"/>
      <c r="B63" s="47" t="s">
        <v>185</v>
      </c>
      <c r="C63" s="28" t="s">
        <v>156</v>
      </c>
      <c r="D63" s="26">
        <f>IF(C63="无",0,IF(C63="&lt;5%",30,IF(C63="5%~10%",60,IF(C63="&gt;10%(*)",80))))</f>
        <v>30</v>
      </c>
      <c r="E63" s="39">
        <f t="shared" si="11"/>
        <v>0.77777777777777768</v>
      </c>
      <c r="F63" s="39">
        <f t="shared" si="12"/>
        <v>23.333333333333329</v>
      </c>
      <c r="G63" s="39">
        <f t="shared" si="14"/>
        <v>0.66666666666666663</v>
      </c>
      <c r="H63" s="108"/>
      <c r="I63" s="108"/>
      <c r="J63" s="108"/>
      <c r="K63" s="108"/>
      <c r="L63" s="10"/>
      <c r="M63" s="10"/>
      <c r="N63" s="10"/>
      <c r="O63" s="10"/>
      <c r="P63" s="10"/>
    </row>
    <row r="64" spans="1:16" ht="13.5" customHeight="1">
      <c r="A64" s="108"/>
      <c r="B64" s="47" t="s">
        <v>186</v>
      </c>
      <c r="C64" s="38" t="s">
        <v>30</v>
      </c>
      <c r="D64" s="26">
        <f>IF(C64="无",0,IF(C64="局部",25,IF(C64="大量(*)",80)))</f>
        <v>0</v>
      </c>
      <c r="E64" s="39">
        <f t="shared" si="11"/>
        <v>0</v>
      </c>
      <c r="F64" s="39">
        <f t="shared" si="12"/>
        <v>0</v>
      </c>
      <c r="G64" s="39">
        <f t="shared" si="14"/>
        <v>0</v>
      </c>
      <c r="H64" s="108"/>
      <c r="I64" s="108"/>
      <c r="J64" s="108"/>
      <c r="K64" s="108"/>
      <c r="L64" s="10"/>
      <c r="M64" s="10"/>
      <c r="N64" s="10"/>
      <c r="O64" s="10"/>
      <c r="P64" s="10"/>
    </row>
    <row r="65" spans="1:16" ht="13.5" customHeight="1">
      <c r="A65" s="108"/>
      <c r="B65" s="47" t="s">
        <v>187</v>
      </c>
      <c r="C65" s="38" t="s">
        <v>30</v>
      </c>
      <c r="D65" s="26">
        <f>IF(C65="无",0,IF(C65="少量",15,IF(C65="严重(*)",80)))</f>
        <v>0</v>
      </c>
      <c r="E65" s="39">
        <f t="shared" si="11"/>
        <v>0</v>
      </c>
      <c r="F65" s="39">
        <f t="shared" si="12"/>
        <v>0</v>
      </c>
      <c r="G65" s="39">
        <f t="shared" si="14"/>
        <v>0</v>
      </c>
      <c r="H65" s="108"/>
      <c r="I65" s="108"/>
      <c r="J65" s="108"/>
      <c r="K65" s="108"/>
      <c r="L65" s="10"/>
      <c r="M65" s="10"/>
      <c r="N65" s="10"/>
      <c r="O65" s="10"/>
      <c r="P65" s="10"/>
    </row>
    <row r="66" spans="1:16" ht="13.5" customHeight="1">
      <c r="A66" s="108"/>
      <c r="B66" s="47" t="s">
        <v>188</v>
      </c>
      <c r="C66" s="38" t="s">
        <v>30</v>
      </c>
      <c r="D66" s="26">
        <f>IF(C66="无",0,IF(C66="少量",65,IF(C66="严重(*)",80)))</f>
        <v>0</v>
      </c>
      <c r="E66" s="39">
        <f t="shared" si="11"/>
        <v>0</v>
      </c>
      <c r="F66" s="39">
        <f t="shared" si="12"/>
        <v>0</v>
      </c>
      <c r="G66" s="39">
        <f t="shared" si="14"/>
        <v>0</v>
      </c>
      <c r="H66" s="108"/>
      <c r="I66" s="108"/>
      <c r="J66" s="108"/>
      <c r="K66" s="108"/>
      <c r="L66" s="10"/>
      <c r="M66" s="10"/>
      <c r="N66" s="10"/>
      <c r="O66" s="10"/>
      <c r="P66" s="10"/>
    </row>
    <row r="67" spans="1:16" ht="13.5" customHeight="1">
      <c r="A67" s="108"/>
      <c r="B67" s="47" t="s">
        <v>189</v>
      </c>
      <c r="C67" s="38" t="s">
        <v>30</v>
      </c>
      <c r="D67" s="26">
        <f>IF(C67="无",0,IF(C67="&lt;20%",40,IF(C67="&gt;20%(*)",80)))</f>
        <v>0</v>
      </c>
      <c r="E67" s="39">
        <f t="shared" si="11"/>
        <v>0</v>
      </c>
      <c r="F67" s="39">
        <f t="shared" si="12"/>
        <v>0</v>
      </c>
      <c r="G67" s="39">
        <f t="shared" si="14"/>
        <v>0</v>
      </c>
      <c r="H67" s="108"/>
      <c r="I67" s="108"/>
      <c r="J67" s="108"/>
      <c r="K67" s="108"/>
      <c r="L67" s="10"/>
      <c r="M67" s="10"/>
      <c r="N67" s="10"/>
      <c r="O67" s="10"/>
      <c r="P67" s="10"/>
    </row>
    <row r="68" spans="1:16" ht="13.5" customHeight="1">
      <c r="A68" s="108"/>
      <c r="B68" s="47" t="s">
        <v>190</v>
      </c>
      <c r="C68" s="28" t="s">
        <v>30</v>
      </c>
      <c r="D68" s="26">
        <f>IF(C68="无",0,IF(C68="少量",20,IF(C68="大量(*)",80)))</f>
        <v>0</v>
      </c>
      <c r="E68" s="39">
        <f t="shared" si="11"/>
        <v>0</v>
      </c>
      <c r="F68" s="39">
        <f t="shared" si="12"/>
        <v>0</v>
      </c>
      <c r="G68" s="39">
        <f t="shared" si="14"/>
        <v>0</v>
      </c>
      <c r="H68" s="108"/>
      <c r="I68" s="108"/>
      <c r="J68" s="108"/>
      <c r="K68" s="108"/>
      <c r="L68" s="10"/>
      <c r="M68" s="10"/>
      <c r="N68" s="10"/>
      <c r="O68" s="10"/>
      <c r="P68" s="10"/>
    </row>
    <row r="69" spans="1:16" ht="13.5" customHeight="1">
      <c r="A69" s="109"/>
      <c r="B69" s="47" t="s">
        <v>191</v>
      </c>
      <c r="C69" s="38" t="s">
        <v>30</v>
      </c>
      <c r="D69" s="26">
        <f>IF(C69="无",0,IF(C69="轻微",15,IF(C69="明显",40,IF(C69="严重(*)",80))))</f>
        <v>0</v>
      </c>
      <c r="E69" s="39">
        <f t="shared" si="11"/>
        <v>0</v>
      </c>
      <c r="F69" s="39">
        <f t="shared" si="12"/>
        <v>0</v>
      </c>
      <c r="G69" s="39">
        <f t="shared" si="14"/>
        <v>0</v>
      </c>
      <c r="H69" s="109"/>
      <c r="I69" s="109"/>
      <c r="J69" s="109"/>
      <c r="K69" s="109"/>
      <c r="L69" s="10"/>
      <c r="M69" s="10"/>
      <c r="N69" s="10"/>
      <c r="O69" s="10"/>
      <c r="P69" s="10"/>
    </row>
    <row r="70" spans="1:16" s="10" customFormat="1" ht="13.5" customHeight="1">
      <c r="A70" s="112" t="s">
        <v>192</v>
      </c>
      <c r="B70" s="37" t="s">
        <v>193</v>
      </c>
      <c r="C70" s="38" t="s">
        <v>30</v>
      </c>
      <c r="D70" s="44">
        <f>IF(C70="无",0,IF(C70="有",35,IF(C70="严重(*)",80)))</f>
        <v>0</v>
      </c>
      <c r="E70" s="39">
        <f t="shared" si="11"/>
        <v>0</v>
      </c>
      <c r="F70" s="39">
        <f t="shared" si="12"/>
        <v>0</v>
      </c>
      <c r="G70" s="39">
        <f>IF(SUM(D$70:D$73)=0,0,D70/(SUM(D$70:D$73)))</f>
        <v>0</v>
      </c>
      <c r="H70" s="110">
        <f>MAX(F70:F73)</f>
        <v>0</v>
      </c>
      <c r="I70" s="110">
        <f>SUM(F70:F73)</f>
        <v>0</v>
      </c>
      <c r="J70" s="107">
        <f>IF(I70&lt;H70,H70,IF(I70&gt;=100,"100",IF(I70&gt;=H70,I70)))</f>
        <v>0</v>
      </c>
      <c r="K70" s="111">
        <f>100-J70</f>
        <v>100</v>
      </c>
    </row>
    <row r="71" spans="1:16" s="10" customFormat="1" ht="13.5" customHeight="1">
      <c r="A71" s="108"/>
      <c r="B71" s="37" t="s">
        <v>194</v>
      </c>
      <c r="C71" s="38" t="s">
        <v>30</v>
      </c>
      <c r="D71" s="44">
        <f>IF(C71="无",0,IF(C71="剥离",25,IF(C71="锈蚀",60)))</f>
        <v>0</v>
      </c>
      <c r="E71" s="39">
        <f t="shared" si="11"/>
        <v>0</v>
      </c>
      <c r="F71" s="39">
        <f t="shared" si="12"/>
        <v>0</v>
      </c>
      <c r="G71" s="39">
        <f>IF(SUM(D$70:D$73)=0,0,D71/(SUM(D$70:D$73)))</f>
        <v>0</v>
      </c>
      <c r="H71" s="108"/>
      <c r="I71" s="108"/>
      <c r="J71" s="108"/>
      <c r="K71" s="108"/>
    </row>
    <row r="72" spans="1:16" s="10" customFormat="1" ht="13.5" customHeight="1">
      <c r="A72" s="108"/>
      <c r="B72" s="37" t="s">
        <v>195</v>
      </c>
      <c r="C72" s="38" t="s">
        <v>30</v>
      </c>
      <c r="D72" s="44">
        <f>IF(C72="无",0,IF(C72="轻微",15,IF(C72="严重",25)))</f>
        <v>0</v>
      </c>
      <c r="E72" s="39">
        <f t="shared" si="11"/>
        <v>0</v>
      </c>
      <c r="F72" s="39">
        <f t="shared" si="12"/>
        <v>0</v>
      </c>
      <c r="G72" s="39">
        <f>IF(SUM(D$70:D$73)=0,0,D72/(SUM(D$70:D$73)))</f>
        <v>0</v>
      </c>
      <c r="H72" s="108"/>
      <c r="I72" s="108"/>
      <c r="J72" s="108"/>
      <c r="K72" s="108"/>
    </row>
    <row r="73" spans="1:16" s="10" customFormat="1" ht="13.5" customHeight="1">
      <c r="A73" s="109"/>
      <c r="B73" s="47" t="s">
        <v>179</v>
      </c>
      <c r="C73" s="38" t="s">
        <v>30</v>
      </c>
      <c r="D73" s="44">
        <f>IF(C73="无",0,IF(C73="锈蚀",20,IF(C73="锈蚀且削弱截面",40)))</f>
        <v>0</v>
      </c>
      <c r="E73" s="39">
        <f t="shared" si="11"/>
        <v>0</v>
      </c>
      <c r="F73" s="39">
        <f t="shared" si="12"/>
        <v>0</v>
      </c>
      <c r="G73" s="39">
        <f>IF(SUM(D$70:D$73)=0,0,D73/(SUM(D$70:D$73)))</f>
        <v>0</v>
      </c>
      <c r="H73" s="109"/>
      <c r="I73" s="109"/>
      <c r="J73" s="109"/>
      <c r="K73" s="109"/>
    </row>
    <row r="74" spans="1:16" s="10" customFormat="1" ht="13.5" customHeight="1"/>
    <row r="75" spans="1:16" s="10" customFormat="1" ht="13.5" customHeight="1"/>
    <row r="76" spans="1:16" s="10" customFormat="1" ht="13.5" customHeight="1"/>
    <row r="77" spans="1:16" s="10" customFormat="1" ht="13.5" customHeight="1"/>
    <row r="78" spans="1:16" s="10" customFormat="1" ht="13.5" customHeight="1"/>
    <row r="79" spans="1:16" s="10" customFormat="1" ht="13.5" customHeight="1"/>
    <row r="80" spans="1:16" s="10" customFormat="1" ht="13.5" customHeight="1"/>
    <row r="81" s="10" customFormat="1" ht="13.5" customHeight="1"/>
    <row r="82" s="10" customFormat="1" ht="13.5" customHeight="1"/>
    <row r="83" s="10" customFormat="1" ht="13.5" customHeight="1"/>
    <row r="84" s="10" customFormat="1" ht="13.5" customHeight="1"/>
    <row r="85" s="10" customFormat="1" ht="13.5" customHeight="1"/>
    <row r="86" s="10" customFormat="1" ht="13.5" customHeight="1"/>
    <row r="87" s="10" customFormat="1" ht="13.5" customHeight="1"/>
    <row r="88" s="10" customFormat="1" ht="13.5" customHeight="1"/>
    <row r="89" s="10" customFormat="1" ht="13.5" customHeight="1"/>
    <row r="90" s="10" customFormat="1" ht="13.5" customHeight="1"/>
    <row r="91" s="10" customFormat="1" ht="13.5" customHeight="1"/>
    <row r="92" s="10" customFormat="1" ht="13" customHeight="1"/>
    <row r="93" s="10" customFormat="1" ht="13" customHeight="1"/>
    <row r="94" s="10" customFormat="1" ht="13" customHeight="1"/>
    <row r="95" s="10" customFormat="1" ht="13" customHeight="1"/>
    <row r="96" s="10" customFormat="1" ht="13" customHeight="1"/>
    <row r="97" s="10" customFormat="1" ht="13" customHeight="1"/>
    <row r="98" s="10" customFormat="1" ht="13" customHeight="1"/>
    <row r="99" s="10" customFormat="1" ht="13" customHeight="1"/>
    <row r="100" s="10" customFormat="1" ht="13" customHeight="1"/>
    <row r="101" s="10" customFormat="1" ht="13" customHeight="1"/>
    <row r="102" s="10" customFormat="1" ht="13" customHeight="1"/>
    <row r="103" s="10" customFormat="1" ht="13" customHeight="1"/>
    <row r="104" s="10" customFormat="1" ht="13" customHeight="1"/>
    <row r="105" s="10" customFormat="1" ht="13" customHeight="1"/>
    <row r="106" s="10" customFormat="1" ht="13" customHeight="1"/>
    <row r="107" s="10" customFormat="1" ht="13" customHeight="1"/>
    <row r="108" s="10" customFormat="1" ht="13" customHeight="1"/>
    <row r="109" s="10" customFormat="1" ht="13" customHeight="1"/>
    <row r="110" s="10" customFormat="1" ht="13" customHeight="1"/>
    <row r="111" s="10" customFormat="1" ht="13" customHeight="1"/>
    <row r="112" s="10" customFormat="1" ht="13" customHeight="1"/>
    <row r="113" s="10" customFormat="1" ht="13" customHeight="1"/>
    <row r="114" s="10" customFormat="1" ht="13" customHeight="1"/>
    <row r="115" s="10" customFormat="1" ht="13" customHeight="1"/>
    <row r="116" s="10" customFormat="1" ht="13" customHeight="1"/>
    <row r="117" s="10" customFormat="1" ht="13" customHeight="1"/>
    <row r="118" s="10" customFormat="1" ht="13" customHeight="1"/>
    <row r="119" s="10" customFormat="1" ht="13" customHeight="1"/>
    <row r="120" s="10" customFormat="1" ht="13" customHeight="1"/>
    <row r="121" s="10" customFormat="1" ht="13" customHeight="1"/>
    <row r="122" s="10" customFormat="1" ht="13" customHeight="1"/>
    <row r="123" s="10" customFormat="1" ht="13" customHeight="1"/>
    <row r="124" s="10" customFormat="1" ht="13" customHeight="1"/>
    <row r="125" s="10" customFormat="1" ht="13" customHeight="1"/>
    <row r="126" s="10" customFormat="1" ht="13" customHeight="1"/>
    <row r="127" s="10" customFormat="1" ht="13" customHeight="1"/>
    <row r="128" s="10" customFormat="1" ht="13" customHeight="1"/>
    <row r="129" s="10" customFormat="1" ht="13" customHeight="1"/>
    <row r="130" s="10" customFormat="1" ht="13" customHeight="1"/>
    <row r="131" s="10" customFormat="1" ht="13" customHeight="1"/>
    <row r="132" s="10" customFormat="1" ht="13" customHeight="1"/>
    <row r="133" s="10" customFormat="1" ht="13" customHeight="1"/>
    <row r="134" s="10" customFormat="1" ht="13" customHeight="1"/>
    <row r="135" s="10" customFormat="1" ht="13" customHeight="1"/>
    <row r="136" s="10" customFormat="1" ht="13" customHeight="1"/>
    <row r="137" s="10" customFormat="1" ht="13" customHeight="1"/>
    <row r="138" s="10" customFormat="1" ht="13" customHeight="1"/>
    <row r="139" s="10" customFormat="1" ht="13" customHeight="1"/>
    <row r="140" s="10" customFormat="1" ht="13" customHeight="1"/>
    <row r="141" s="10" customFormat="1" ht="13" customHeight="1"/>
    <row r="142" s="10" customFormat="1" ht="13" customHeight="1"/>
    <row r="143" s="10" customFormat="1" ht="13" customHeight="1"/>
    <row r="144" s="10" customFormat="1" ht="13" customHeight="1"/>
    <row r="145" s="10" customFormat="1" ht="13" customHeight="1"/>
    <row r="146" s="10" customFormat="1" ht="13" customHeight="1"/>
    <row r="147" s="10" customFormat="1" ht="13" customHeight="1"/>
    <row r="148" s="10" customFormat="1" ht="13" customHeight="1"/>
    <row r="149" s="10" customFormat="1" ht="13" customHeight="1"/>
    <row r="150" s="10" customFormat="1" ht="13" customHeight="1"/>
    <row r="151" s="10" customFormat="1" ht="13" customHeight="1"/>
    <row r="152" s="10" customFormat="1" ht="13" customHeight="1"/>
    <row r="153" s="10" customFormat="1" ht="13" customHeight="1"/>
    <row r="154" s="10" customFormat="1" ht="13" customHeight="1"/>
    <row r="155" s="10" customFormat="1" ht="13" customHeight="1"/>
    <row r="156" s="10" customFormat="1" ht="13" customHeight="1"/>
    <row r="157" s="10" customFormat="1" ht="13" customHeight="1"/>
    <row r="158" s="10" customFormat="1" ht="13" customHeight="1"/>
    <row r="159" s="10" customFormat="1" ht="13" customHeight="1"/>
    <row r="160" s="10" customFormat="1" ht="13" customHeight="1"/>
    <row r="161" s="10" customFormat="1" ht="13" customHeight="1"/>
    <row r="162" s="10" customFormat="1" ht="13" customHeight="1"/>
    <row r="163" s="10" customFormat="1" ht="13" customHeight="1"/>
    <row r="164" s="10" customFormat="1" ht="13" customHeight="1"/>
    <row r="165" s="10" customFormat="1" ht="13" customHeight="1"/>
    <row r="166" s="10" customFormat="1" ht="13" customHeight="1"/>
    <row r="167" s="10" customFormat="1" ht="13" customHeight="1"/>
    <row r="168" s="10" customFormat="1" ht="13" customHeight="1"/>
    <row r="169" s="10" customFormat="1" ht="13" customHeight="1"/>
    <row r="170" s="10" customFormat="1" ht="13" customHeight="1"/>
    <row r="171" s="10" customFormat="1" ht="13" customHeight="1"/>
    <row r="172" s="10" customFormat="1" ht="13" customHeight="1"/>
    <row r="173" s="10" customFormat="1" ht="13" customHeight="1"/>
    <row r="174" s="10" customFormat="1" ht="13" customHeight="1"/>
    <row r="175" s="10" customFormat="1" ht="13" customHeight="1"/>
    <row r="176" s="10" customFormat="1" ht="13" customHeight="1"/>
    <row r="177" s="10" customFormat="1" ht="13" customHeight="1"/>
    <row r="178" s="10" customFormat="1" ht="13" customHeight="1"/>
    <row r="179" s="10" customFormat="1" ht="13" customHeight="1"/>
    <row r="180" s="10" customFormat="1" ht="13" customHeight="1"/>
    <row r="181" s="10" customFormat="1" ht="13" customHeight="1"/>
    <row r="182" s="10" customFormat="1" ht="13" customHeight="1"/>
    <row r="183" s="10" customFormat="1" ht="13" customHeight="1"/>
    <row r="184" s="10" customFormat="1" ht="13" customHeight="1"/>
    <row r="185" s="10" customFormat="1" ht="13" customHeight="1"/>
    <row r="186" s="10" customFormat="1" ht="13" customHeight="1"/>
    <row r="187" s="10" customFormat="1" ht="13" customHeight="1"/>
    <row r="188" s="10" customFormat="1" ht="13" customHeight="1"/>
    <row r="189" s="10" customFormat="1" ht="13" customHeight="1"/>
    <row r="190" s="10" customFormat="1" ht="13" customHeight="1"/>
    <row r="191" s="10" customFormat="1" ht="13" customHeight="1"/>
    <row r="192" s="10" customFormat="1" ht="13" customHeight="1"/>
    <row r="193" s="10" customFormat="1" ht="13" customHeight="1"/>
    <row r="194" s="10" customFormat="1" ht="13" customHeight="1"/>
    <row r="195" s="10" customFormat="1" ht="13" customHeight="1"/>
    <row r="196" s="10" customFormat="1" ht="13" customHeight="1"/>
    <row r="197" s="10" customFormat="1" ht="13" customHeight="1"/>
    <row r="198" s="10" customFormat="1" ht="13" customHeight="1"/>
    <row r="199" s="10" customFormat="1" ht="13" customHeight="1"/>
    <row r="200" s="10" customFormat="1" ht="13" customHeight="1"/>
    <row r="201" s="10" customFormat="1" ht="13" customHeight="1"/>
    <row r="202" s="10" customFormat="1" ht="13" customHeight="1"/>
    <row r="203" s="10" customFormat="1" ht="13" customHeight="1"/>
    <row r="204" s="10" customFormat="1" ht="13" customHeight="1"/>
    <row r="205" s="10" customFormat="1" ht="13" customHeight="1"/>
    <row r="206" s="10" customFormat="1" ht="13" customHeight="1"/>
    <row r="207" s="10" customFormat="1" ht="13" customHeight="1"/>
    <row r="208" s="10" customFormat="1" ht="13" customHeight="1"/>
    <row r="209" s="10" customFormat="1" ht="13" customHeight="1"/>
    <row r="210" s="10" customFormat="1" ht="13" customHeight="1"/>
    <row r="211" s="10" customFormat="1" ht="13" customHeight="1"/>
    <row r="212" s="10" customFormat="1" ht="13" customHeight="1"/>
    <row r="213" s="10" customFormat="1" ht="13" customHeight="1"/>
    <row r="214" s="10" customFormat="1" ht="13" customHeight="1"/>
    <row r="215" s="10" customFormat="1" ht="13" customHeight="1"/>
    <row r="216" s="10" customFormat="1" ht="13" customHeight="1"/>
    <row r="217" s="10" customFormat="1" ht="13" customHeight="1"/>
    <row r="218" s="10" customFormat="1" ht="13" customHeight="1"/>
    <row r="219" s="10" customFormat="1" ht="13" customHeight="1"/>
    <row r="220" s="10" customFormat="1" ht="13" customHeight="1"/>
    <row r="221" s="10" customFormat="1" ht="13" customHeight="1"/>
    <row r="222" s="10" customFormat="1" ht="13" customHeight="1"/>
    <row r="223" s="10" customFormat="1" ht="13" customHeight="1"/>
    <row r="224" s="10" customFormat="1" ht="13" customHeight="1"/>
    <row r="225" s="10" customFormat="1" ht="13" customHeight="1"/>
    <row r="226" s="10" customFormat="1" ht="13" customHeight="1"/>
    <row r="227" s="10" customFormat="1" ht="13" customHeight="1"/>
    <row r="228" s="10" customFormat="1" ht="13" customHeight="1"/>
    <row r="229" s="10" customFormat="1" ht="13" customHeight="1"/>
    <row r="230" s="10" customFormat="1" ht="13" customHeight="1"/>
    <row r="231" s="10" customFormat="1" ht="13" customHeight="1"/>
    <row r="232" s="10" customFormat="1" ht="13" customHeight="1"/>
    <row r="233" s="10" customFormat="1" ht="13" customHeight="1"/>
    <row r="234" s="10" customFormat="1" ht="13" customHeight="1"/>
    <row r="235" s="10" customFormat="1" ht="13" customHeight="1"/>
    <row r="236" s="10" customFormat="1" ht="13" customHeight="1"/>
    <row r="237" s="10" customFormat="1" ht="13" customHeight="1"/>
    <row r="238" s="10" customFormat="1" ht="13" customHeight="1"/>
    <row r="239" s="10" customFormat="1" ht="13" customHeight="1"/>
    <row r="240" s="10" customFormat="1" ht="13" customHeight="1"/>
    <row r="241" s="10" customFormat="1" ht="13" customHeight="1"/>
    <row r="242" s="10" customFormat="1" ht="13" customHeight="1"/>
    <row r="243" s="10" customFormat="1" ht="13" customHeight="1"/>
    <row r="244" s="10" customFormat="1" ht="13" customHeight="1"/>
    <row r="245" s="10" customFormat="1" ht="13" customHeight="1"/>
    <row r="246" s="10" customFormat="1" ht="13" customHeight="1"/>
    <row r="247" s="10" customFormat="1" ht="13" customHeight="1"/>
    <row r="248" s="10" customFormat="1" ht="13" customHeight="1"/>
    <row r="249" s="10" customFormat="1" ht="13" customHeight="1"/>
    <row r="250" s="10" customFormat="1" ht="13" customHeight="1"/>
    <row r="251" s="10" customFormat="1" ht="13" customHeight="1"/>
    <row r="252" s="10" customFormat="1" ht="13" customHeight="1"/>
    <row r="253" s="10" customFormat="1" ht="13" customHeight="1"/>
    <row r="254" s="10" customFormat="1" ht="13" customHeight="1"/>
    <row r="255" s="10" customFormat="1" ht="13" customHeight="1"/>
    <row r="256" s="10" customFormat="1" ht="13" customHeight="1"/>
    <row r="257" s="10" customFormat="1" ht="13" customHeight="1"/>
    <row r="258" s="10" customFormat="1" ht="13" customHeight="1"/>
    <row r="259" s="10" customFormat="1" ht="13" customHeight="1"/>
    <row r="260" s="10" customFormat="1" ht="13" customHeight="1"/>
    <row r="261" s="10" customFormat="1" ht="13" customHeight="1"/>
    <row r="262" s="10" customFormat="1" ht="13" customHeight="1"/>
    <row r="263" s="10" customFormat="1" ht="13" customHeight="1"/>
    <row r="264" s="10" customFormat="1" ht="13" customHeight="1"/>
    <row r="265" s="10" customFormat="1" ht="13" customHeight="1"/>
    <row r="266" s="10" customFormat="1" ht="13" customHeight="1"/>
    <row r="267" s="10" customFormat="1" ht="13" customHeight="1"/>
    <row r="268" s="10" customFormat="1" ht="13" customHeight="1"/>
    <row r="269" s="10" customFormat="1" ht="13" customHeight="1"/>
    <row r="270" s="10" customFormat="1" ht="13" customHeight="1"/>
    <row r="271" s="10" customFormat="1" ht="13" customHeight="1"/>
    <row r="272" s="10" customFormat="1" ht="13" customHeight="1"/>
    <row r="273" s="10" customFormat="1" ht="13" customHeight="1"/>
    <row r="274" s="10" customFormat="1" ht="13" customHeight="1"/>
    <row r="275" s="10" customFormat="1" ht="13" customHeight="1"/>
    <row r="276" s="10" customFormat="1" ht="13" customHeight="1"/>
    <row r="277" s="10" customFormat="1" ht="13" customHeight="1"/>
    <row r="278" s="10" customFormat="1" ht="13" customHeight="1"/>
    <row r="279" s="10" customFormat="1" ht="13" customHeight="1"/>
    <row r="280" s="10" customFormat="1" ht="13" customHeight="1"/>
    <row r="281" s="10" customFormat="1" ht="13" customHeight="1"/>
    <row r="282" s="10" customFormat="1" ht="13" customHeight="1"/>
    <row r="283" s="10" customFormat="1" ht="13" customHeight="1"/>
    <row r="284" s="10" customFormat="1" ht="13" customHeight="1"/>
    <row r="285" s="10" customFormat="1" ht="13" customHeight="1"/>
    <row r="286" s="10" customFormat="1" ht="13" customHeight="1"/>
    <row r="287" s="10" customFormat="1" ht="13" customHeight="1"/>
    <row r="288" s="10" customFormat="1" ht="13" customHeight="1"/>
    <row r="289" s="10" customFormat="1" ht="13" customHeight="1"/>
    <row r="290" s="10" customFormat="1" ht="13" customHeight="1"/>
    <row r="291" s="10" customFormat="1" ht="13" customHeight="1"/>
    <row r="292" s="10" customFormat="1" ht="13" customHeight="1"/>
    <row r="293" s="10" customFormat="1" ht="13" customHeight="1"/>
    <row r="294" s="10" customFormat="1" ht="13" customHeight="1"/>
    <row r="295" s="10" customFormat="1" ht="13" customHeight="1"/>
    <row r="296" s="10" customFormat="1" ht="13" customHeight="1"/>
    <row r="297" s="10" customFormat="1" ht="13" customHeight="1"/>
    <row r="298" s="10" customFormat="1" ht="13" customHeight="1"/>
    <row r="299" s="10" customFormat="1" ht="13" customHeight="1"/>
    <row r="300" s="10" customFormat="1" ht="13" customHeight="1"/>
    <row r="301" s="10" customFormat="1" ht="13" customHeight="1"/>
    <row r="302" s="10" customFormat="1" ht="13" customHeight="1"/>
    <row r="303" s="10" customFormat="1" ht="13" customHeight="1"/>
    <row r="304" s="10" customFormat="1" ht="13" customHeight="1"/>
    <row r="305" s="10" customFormat="1" ht="13" customHeight="1"/>
    <row r="306" s="10" customFormat="1" ht="13" customHeight="1"/>
    <row r="307" s="10" customFormat="1" ht="13" customHeight="1"/>
    <row r="308" s="10" customFormat="1" ht="13" customHeight="1"/>
    <row r="309" s="10" customFormat="1" ht="13" customHeight="1"/>
    <row r="310" s="10" customFormat="1" ht="13" customHeight="1"/>
    <row r="311" s="10" customFormat="1" ht="13" customHeight="1"/>
    <row r="312" s="10" customFormat="1" ht="13" customHeight="1"/>
    <row r="313" s="10" customFormat="1" ht="13" customHeight="1"/>
    <row r="314" s="10" customFormat="1" ht="13" customHeight="1"/>
    <row r="315" s="10" customFormat="1" ht="13" customHeight="1"/>
    <row r="316" s="10" customFormat="1" ht="13" customHeight="1"/>
    <row r="317" s="10" customFormat="1" ht="13" customHeight="1"/>
    <row r="318" s="10" customFormat="1" ht="13" customHeight="1"/>
    <row r="319" s="10" customFormat="1" ht="13" customHeight="1"/>
    <row r="320" s="10" customFormat="1" ht="13" customHeight="1"/>
    <row r="321" s="10" customFormat="1" ht="13" customHeight="1"/>
    <row r="322" s="10" customFormat="1" ht="13" customHeight="1"/>
    <row r="323" s="10" customFormat="1" ht="13" customHeight="1"/>
    <row r="324" s="10" customFormat="1" ht="13" customHeight="1"/>
    <row r="325" s="10" customFormat="1" ht="13" customHeight="1"/>
    <row r="326" s="10" customFormat="1" ht="13" customHeight="1"/>
    <row r="327" s="10" customFormat="1" ht="13" customHeight="1"/>
    <row r="328" s="10" customFormat="1" ht="13" customHeight="1"/>
    <row r="329" s="10" customFormat="1" ht="13" customHeight="1"/>
    <row r="330" s="10" customFormat="1" ht="13" customHeight="1"/>
    <row r="331" s="10" customFormat="1" ht="13" customHeight="1"/>
    <row r="332" s="10" customFormat="1" ht="13" customHeight="1"/>
    <row r="333" s="10" customFormat="1" ht="13" customHeight="1"/>
    <row r="334" s="10" customFormat="1" ht="13" customHeight="1"/>
    <row r="335" s="10" customFormat="1" ht="13" customHeight="1"/>
    <row r="336" s="10" customFormat="1" ht="13" customHeight="1"/>
    <row r="337" s="10" customFormat="1" ht="13" customHeight="1"/>
    <row r="338" s="10" customFormat="1" ht="13" customHeight="1"/>
    <row r="339" s="10" customFormat="1" ht="13" customHeight="1"/>
    <row r="340" s="10" customFormat="1" ht="13" customHeight="1"/>
    <row r="341" s="10" customFormat="1" ht="13" customHeight="1"/>
    <row r="342" s="10" customFormat="1" ht="13" customHeight="1"/>
    <row r="343" s="10" customFormat="1" ht="13" customHeight="1"/>
    <row r="344" s="10" customFormat="1" ht="13" customHeight="1"/>
    <row r="345" s="10" customFormat="1" ht="13" customHeight="1"/>
    <row r="346" s="10" customFormat="1" ht="13" customHeight="1"/>
    <row r="347" s="10" customFormat="1" ht="13" customHeight="1"/>
    <row r="348" s="10" customFormat="1" ht="13" customHeight="1"/>
    <row r="349" s="10" customFormat="1" ht="13" customHeight="1"/>
    <row r="350" s="10" customFormat="1" ht="13" customHeight="1"/>
    <row r="351" s="10" customFormat="1" ht="13" customHeight="1"/>
    <row r="352" s="10" customFormat="1" ht="13" customHeight="1"/>
    <row r="353" s="10" customFormat="1" ht="13" customHeight="1"/>
    <row r="354" s="10" customFormat="1" ht="13" customHeight="1"/>
    <row r="355" s="10" customFormat="1" ht="13" customHeight="1"/>
    <row r="356" s="10" customFormat="1" ht="13" customHeight="1"/>
    <row r="357" s="10" customFormat="1" ht="13" customHeight="1"/>
    <row r="358" s="10" customFormat="1" ht="13" customHeight="1"/>
    <row r="359" s="10" customFormat="1" ht="13" customHeight="1"/>
    <row r="360" s="10" customFormat="1" ht="13" customHeight="1"/>
    <row r="361" s="10" customFormat="1" ht="13" customHeight="1"/>
    <row r="362" s="10" customFormat="1" ht="13" customHeight="1"/>
    <row r="363" s="10" customFormat="1" ht="13" customHeight="1"/>
    <row r="364" s="10" customFormat="1" ht="13" customHeight="1"/>
    <row r="365" s="10" customFormat="1" ht="13" customHeight="1"/>
    <row r="366" s="10" customFormat="1" ht="13" customHeight="1"/>
    <row r="367" s="10" customFormat="1" ht="13" customHeight="1"/>
    <row r="368" s="10" customFormat="1" ht="13" customHeight="1"/>
    <row r="369" s="10" customFormat="1" ht="13" customHeight="1"/>
    <row r="370" s="10" customFormat="1" ht="13" customHeight="1"/>
    <row r="371" s="10" customFormat="1" ht="13" customHeight="1"/>
    <row r="372" s="10" customFormat="1" ht="13" customHeight="1"/>
    <row r="373" s="10" customFormat="1" ht="13" customHeight="1"/>
    <row r="374" s="10" customFormat="1" ht="13" customHeight="1"/>
    <row r="375" s="10" customFormat="1" ht="13" customHeight="1"/>
    <row r="376" s="10" customFormat="1" ht="13" customHeight="1"/>
    <row r="377" s="10" customFormat="1" ht="13" customHeight="1"/>
    <row r="378" s="10" customFormat="1" ht="13" customHeight="1"/>
    <row r="379" s="10" customFormat="1" ht="13" customHeight="1"/>
    <row r="380" s="10" customFormat="1" ht="13" customHeight="1"/>
    <row r="381" s="10" customFormat="1" ht="13" customHeight="1"/>
    <row r="382" s="10" customFormat="1" ht="13" customHeight="1"/>
    <row r="383" s="10" customFormat="1" ht="13" customHeight="1"/>
    <row r="384" s="10" customFormat="1" ht="13" customHeight="1"/>
    <row r="385" s="10" customFormat="1" ht="13" customHeight="1"/>
    <row r="386" s="10" customFormat="1" ht="13" customHeight="1"/>
    <row r="387" s="10" customFormat="1" ht="13" customHeight="1"/>
    <row r="388" s="10" customFormat="1" ht="13" customHeight="1"/>
    <row r="389" s="10" customFormat="1" ht="13" customHeight="1"/>
    <row r="390" s="10" customFormat="1" ht="13" customHeight="1"/>
    <row r="391" s="10" customFormat="1" ht="13" customHeight="1"/>
    <row r="392" s="10" customFormat="1" ht="13" customHeight="1"/>
    <row r="393" s="10" customFormat="1" ht="13" customHeight="1"/>
    <row r="394" s="10" customFormat="1" ht="13" customHeight="1"/>
    <row r="395" s="10" customFormat="1" ht="13" customHeight="1"/>
    <row r="396" s="10" customFormat="1" ht="13" customHeight="1"/>
    <row r="397" s="10" customFormat="1" ht="13" customHeight="1"/>
    <row r="398" s="10" customFormat="1" ht="13" customHeight="1"/>
    <row r="399" s="10" customFormat="1" ht="13" customHeight="1"/>
    <row r="400" s="10" customFormat="1" ht="13" customHeight="1"/>
    <row r="401" s="10" customFormat="1" ht="13" customHeight="1"/>
    <row r="402" s="10" customFormat="1" ht="13" customHeight="1"/>
    <row r="403" s="10" customFormat="1" ht="13" customHeight="1"/>
    <row r="404" s="10" customFormat="1" ht="13" customHeight="1"/>
    <row r="405" s="10" customFormat="1" ht="13" customHeight="1"/>
    <row r="406" s="10" customFormat="1" ht="13" customHeight="1"/>
    <row r="407" s="10" customFormat="1" ht="13" customHeight="1"/>
    <row r="408" s="10" customFormat="1" ht="13" customHeight="1"/>
    <row r="409" s="10" customFormat="1" ht="13" customHeight="1"/>
    <row r="410" s="10" customFormat="1" ht="13" customHeight="1"/>
    <row r="411" s="10" customFormat="1" ht="13" customHeight="1"/>
    <row r="412" s="10" customFormat="1" ht="13" customHeight="1"/>
    <row r="413" s="10" customFormat="1" ht="13" customHeight="1"/>
    <row r="414" s="10" customFormat="1" ht="13" customHeight="1"/>
    <row r="415" s="10" customFormat="1" ht="13" customHeight="1"/>
    <row r="416" s="10" customFormat="1" ht="13" customHeight="1"/>
    <row r="417" s="10" customFormat="1" ht="13" customHeight="1"/>
    <row r="418" s="10" customFormat="1" ht="13" customHeight="1"/>
    <row r="419" s="10" customFormat="1" ht="13" customHeight="1"/>
    <row r="420" s="10" customFormat="1" ht="13" customHeight="1"/>
    <row r="421" s="10" customFormat="1" ht="13" customHeight="1"/>
    <row r="422" s="10" customFormat="1" ht="13" customHeight="1"/>
    <row r="423" s="10" customFormat="1" ht="13" customHeight="1"/>
    <row r="424" s="10" customFormat="1" ht="13" customHeight="1"/>
    <row r="425" s="10" customFormat="1" ht="13" customHeight="1"/>
    <row r="426" s="10" customFormat="1" ht="13" customHeight="1"/>
    <row r="427" s="10" customFormat="1" ht="13" customHeight="1"/>
    <row r="428" s="10" customFormat="1" ht="13" customHeight="1"/>
    <row r="429" s="10" customFormat="1" ht="13" customHeight="1"/>
    <row r="430" s="10" customFormat="1" ht="13" customHeight="1"/>
    <row r="431" s="10" customFormat="1" ht="13" customHeight="1"/>
    <row r="432" s="10" customFormat="1" ht="13" customHeight="1"/>
    <row r="433" s="10" customFormat="1" ht="13" customHeight="1"/>
    <row r="434" s="10" customFormat="1" ht="13" customHeight="1"/>
    <row r="435" s="10" customFormat="1" ht="13" customHeight="1"/>
    <row r="436" s="10" customFormat="1" ht="13" customHeight="1"/>
    <row r="437" s="10" customFormat="1" ht="13" customHeight="1"/>
    <row r="438" s="10" customFormat="1" ht="13" customHeight="1"/>
    <row r="439" s="10" customFormat="1" ht="13" customHeight="1"/>
    <row r="440" s="10" customFormat="1" ht="13" customHeight="1"/>
    <row r="441" s="10" customFormat="1" ht="13" customHeight="1"/>
    <row r="442" s="10" customFormat="1" ht="13" customHeight="1"/>
    <row r="443" s="10" customFormat="1" ht="13" customHeight="1"/>
    <row r="444" s="10" customFormat="1" ht="13" customHeight="1"/>
    <row r="445" s="10" customFormat="1" ht="13" customHeight="1"/>
    <row r="446" s="10" customFormat="1" ht="13" customHeight="1"/>
    <row r="447" s="10" customFormat="1" ht="13" customHeight="1"/>
    <row r="448" s="10" customFormat="1" ht="13" customHeight="1"/>
    <row r="449" s="10" customFormat="1" ht="13" customHeight="1"/>
    <row r="450" s="10" customFormat="1" ht="13" customHeight="1"/>
    <row r="451" s="10" customFormat="1" ht="13" customHeight="1"/>
    <row r="452" s="10" customFormat="1" ht="13" customHeight="1"/>
    <row r="453" s="10" customFormat="1" ht="13" customHeight="1"/>
    <row r="454" s="10" customFormat="1" ht="13" customHeight="1"/>
    <row r="455" s="10" customFormat="1" ht="13" customHeight="1"/>
    <row r="456" s="10" customFormat="1" ht="13" customHeight="1"/>
    <row r="457" s="10" customFormat="1" ht="13" customHeight="1"/>
    <row r="458" s="10" customFormat="1" ht="13" customHeight="1"/>
    <row r="459" s="10" customFormat="1" ht="13" customHeight="1"/>
    <row r="460" s="10" customFormat="1" ht="13" customHeight="1"/>
    <row r="461" s="10" customFormat="1" ht="13" customHeight="1"/>
    <row r="462" s="10" customFormat="1" ht="13" customHeight="1"/>
    <row r="463" s="10" customFormat="1" ht="13" customHeight="1"/>
    <row r="464" s="10" customFormat="1" ht="13" customHeight="1"/>
    <row r="465" s="10" customFormat="1" ht="13" customHeight="1"/>
    <row r="466" s="10" customFormat="1" ht="13" customHeight="1"/>
    <row r="467" s="10" customFormat="1" ht="13" customHeight="1"/>
    <row r="468" s="10" customFormat="1" ht="13" customHeight="1"/>
    <row r="469" s="10" customFormat="1" ht="13" customHeight="1"/>
    <row r="470" s="10" customFormat="1" ht="13" customHeight="1"/>
    <row r="471" s="10" customFormat="1" ht="13" customHeight="1"/>
    <row r="472" s="10" customFormat="1" ht="13" customHeight="1"/>
    <row r="473" s="10" customFormat="1" ht="13" customHeight="1"/>
    <row r="474" s="10" customFormat="1" ht="13" customHeight="1"/>
    <row r="475" s="10" customFormat="1" ht="13" customHeight="1"/>
    <row r="476" s="10" customFormat="1" ht="13" customHeight="1"/>
    <row r="477" s="10" customFormat="1" ht="13" customHeight="1"/>
    <row r="478" s="10" customFormat="1" ht="13" customHeight="1"/>
    <row r="479" s="10" customFormat="1" ht="13" customHeight="1"/>
    <row r="480" s="10" customFormat="1" ht="13" customHeight="1"/>
    <row r="481" s="10" customFormat="1" ht="13" customHeight="1"/>
    <row r="482" s="10" customFormat="1" ht="13" customHeight="1"/>
    <row r="483" s="10" customFormat="1" ht="13" customHeight="1"/>
    <row r="484" s="10" customFormat="1" ht="13" customHeight="1"/>
    <row r="485" s="10" customFormat="1" ht="13" customHeight="1"/>
    <row r="486" s="10" customFormat="1" ht="13" customHeight="1"/>
    <row r="487" s="10" customFormat="1" ht="13" customHeight="1"/>
    <row r="488" s="10" customFormat="1" ht="13" customHeight="1"/>
    <row r="489" s="10" customFormat="1" ht="13" customHeight="1"/>
    <row r="490" s="10" customFormat="1" ht="13" customHeight="1"/>
    <row r="491" s="10" customFormat="1" ht="13" customHeight="1"/>
    <row r="492" s="10" customFormat="1" ht="13" customHeight="1"/>
  </sheetData>
  <sheetProtection password="CACC" sheet="1" objects="1" scenarios="1"/>
  <mergeCells count="53">
    <mergeCell ref="L12:M13"/>
    <mergeCell ref="N9:U13"/>
    <mergeCell ref="K46:K50"/>
    <mergeCell ref="I41:I45"/>
    <mergeCell ref="K41:K45"/>
    <mergeCell ref="L9:M10"/>
    <mergeCell ref="I28:I40"/>
    <mergeCell ref="H70:H73"/>
    <mergeCell ref="J60:J69"/>
    <mergeCell ref="J70:J73"/>
    <mergeCell ref="J46:J50"/>
    <mergeCell ref="H51:H56"/>
    <mergeCell ref="K60:K69"/>
    <mergeCell ref="I22:I27"/>
    <mergeCell ref="J57:J59"/>
    <mergeCell ref="K22:K27"/>
    <mergeCell ref="L14:R17"/>
    <mergeCell ref="K70:K73"/>
    <mergeCell ref="H22:H27"/>
    <mergeCell ref="I57:I59"/>
    <mergeCell ref="H28:H40"/>
    <mergeCell ref="B9:K9"/>
    <mergeCell ref="I70:I73"/>
    <mergeCell ref="K57:K59"/>
    <mergeCell ref="K14:K21"/>
    <mergeCell ref="A51:A56"/>
    <mergeCell ref="H14:H21"/>
    <mergeCell ref="J41:J45"/>
    <mergeCell ref="J14:J21"/>
    <mergeCell ref="K51:K56"/>
    <mergeCell ref="A60:A69"/>
    <mergeCell ref="I46:I50"/>
    <mergeCell ref="H41:H45"/>
    <mergeCell ref="H60:H69"/>
    <mergeCell ref="A28:A40"/>
    <mergeCell ref="I51:I56"/>
    <mergeCell ref="J22:J27"/>
    <mergeCell ref="J28:J40"/>
    <mergeCell ref="E12:F12"/>
    <mergeCell ref="H57:H59"/>
    <mergeCell ref="A70:A73"/>
    <mergeCell ref="G12:K12"/>
    <mergeCell ref="A57:A59"/>
    <mergeCell ref="K28:K40"/>
    <mergeCell ref="I14:I21"/>
    <mergeCell ref="A22:A27"/>
    <mergeCell ref="J51:J56"/>
    <mergeCell ref="A41:A45"/>
    <mergeCell ref="A14:A21"/>
    <mergeCell ref="B12:D12"/>
    <mergeCell ref="I60:I69"/>
    <mergeCell ref="A46:A50"/>
    <mergeCell ref="H46:H50"/>
  </mergeCells>
  <phoneticPr fontId="46" type="noConversion"/>
  <dataValidations count="25">
    <dataValidation type="list" showInputMessage="1" showErrorMessage="1" sqref="C14 C34" xr:uid="{00000000-0002-0000-0200-000000000000}">
      <formula1>"无,&lt;3%,3%~10%,&gt;10%"</formula1>
    </dataValidation>
    <dataValidation type="list" showInputMessage="1" showErrorMessage="1" sqref="C15" xr:uid="{00000000-0002-0000-0200-000001000000}">
      <formula1>"无,&lt;1%,1%~2%,&gt;2%"</formula1>
    </dataValidation>
    <dataValidation type="list" showInputMessage="1" showErrorMessage="1" sqref="C16" xr:uid="{00000000-0002-0000-0200-000002000000}">
      <formula1>"无,&lt;1%,1%~2%,&gt;2%(*)"</formula1>
    </dataValidation>
    <dataValidation type="list" showInputMessage="1" showErrorMessage="1" sqref="C17" xr:uid="{00000000-0002-0000-0200-000003000000}">
      <formula1>"无,轻微,明显(*)"</formula1>
    </dataValidation>
    <dataValidation type="list" showInputMessage="1" showErrorMessage="1" sqref="C18 C21" xr:uid="{00000000-0002-0000-0200-000004000000}">
      <formula1>"无,明显,严重(*)"</formula1>
    </dataValidation>
    <dataValidation type="list" showInputMessage="1" showErrorMessage="1" sqref="C19 C29 C33 C35 C37:C38 C40 C46:C47 C51 C53:C54 C56 C72" xr:uid="{00000000-0002-0000-0200-000005000000}">
      <formula1>"无,轻微,严重"</formula1>
    </dataValidation>
    <dataValidation type="list" showInputMessage="1" showErrorMessage="1" sqref="C20 C22 C28 C45" xr:uid="{00000000-0002-0000-0200-000006000000}">
      <formula1>"无,非贯通,贯通"</formula1>
    </dataValidation>
    <dataValidation type="list" showInputMessage="1" showErrorMessage="1" sqref="C25 C41:C42" xr:uid="{00000000-0002-0000-0200-000007000000}">
      <formula1>"无,&lt;10%,10%~20%,&gt;20%"</formula1>
    </dataValidation>
    <dataValidation type="list" showInputMessage="1" showErrorMessage="1" sqref="C23:C24 C26 C39 C43:C44" xr:uid="{00000000-0002-0000-0200-000008000000}">
      <formula1>"无,&lt;5%,5%~10%,&gt;10%"</formula1>
    </dataValidation>
    <dataValidation type="list" showInputMessage="1" showErrorMessage="1" sqref="C27" xr:uid="{00000000-0002-0000-0200-000009000000}">
      <formula1>"无,轻微,严重(*)"</formula1>
    </dataValidation>
    <dataValidation type="list" showInputMessage="1" showErrorMessage="1" sqref="C48" xr:uid="{00000000-0002-0000-0200-00000A000000}">
      <formula1>"无,少量,严重"</formula1>
    </dataValidation>
    <dataValidation type="list" showInputMessage="1" showErrorMessage="1" sqref="C30:C32 C49:C50 C52" xr:uid="{00000000-0002-0000-0200-00000B000000}">
      <formula1>"无,少量,大量"</formula1>
    </dataValidation>
    <dataValidation type="list" showInputMessage="1" showErrorMessage="1" sqref="C59" xr:uid="{00000000-0002-0000-0200-00000C000000}">
      <formula1>"无,轻微,明显"</formula1>
    </dataValidation>
    <dataValidation type="list" showInputMessage="1" showErrorMessage="1" sqref="C60" xr:uid="{00000000-0002-0000-0200-00000D000000}">
      <formula1>"无,&lt;30%,&gt;30%"</formula1>
    </dataValidation>
    <dataValidation type="list" showInputMessage="1" showErrorMessage="1" sqref="C63" xr:uid="{00000000-0002-0000-0200-00000E000000}">
      <formula1>"无,&lt;5%,5%~10%,&gt;10%(*)"</formula1>
    </dataValidation>
    <dataValidation type="list" showInputMessage="1" showErrorMessage="1" sqref="C64" xr:uid="{00000000-0002-0000-0200-00000F000000}">
      <formula1>"无,局部,大量(*)"</formula1>
    </dataValidation>
    <dataValidation type="list" showInputMessage="1" showErrorMessage="1" sqref="C67" xr:uid="{00000000-0002-0000-0200-000010000000}">
      <formula1>"无,&lt;20%,&gt;20%(*)"</formula1>
    </dataValidation>
    <dataValidation type="list" showInputMessage="1" showErrorMessage="1" sqref="C68" xr:uid="{00000000-0002-0000-0200-000011000000}">
      <formula1>"无,少量,大量(*)"</formula1>
    </dataValidation>
    <dataValidation type="list" showInputMessage="1" showErrorMessage="1" sqref="C69" xr:uid="{00000000-0002-0000-0200-000012000000}">
      <formula1>"无,轻微,明显,严重(*)"</formula1>
    </dataValidation>
    <dataValidation type="list" showInputMessage="1" showErrorMessage="1" sqref="C70" xr:uid="{00000000-0002-0000-0200-000013000000}">
      <formula1>"无,有,严重(*)"</formula1>
    </dataValidation>
    <dataValidation type="list" showInputMessage="1" showErrorMessage="1" sqref="C71" xr:uid="{00000000-0002-0000-0200-000014000000}">
      <formula1>"无,剥离,锈蚀"</formula1>
    </dataValidation>
    <dataValidation type="list" showInputMessage="1" showErrorMessage="1" sqref="C73" xr:uid="{00000000-0002-0000-0200-000015000000}">
      <formula1>"无,锈蚀,锈蚀且削弱截面"</formula1>
    </dataValidation>
    <dataValidation type="list" showInputMessage="1" showErrorMessage="1" sqref="C57:C58" xr:uid="{00000000-0002-0000-0200-000016000000}">
      <formula1>"无,轻微,中等,严重(*)"</formula1>
    </dataValidation>
    <dataValidation type="list" showInputMessage="1" showErrorMessage="1" sqref="C61:C62" xr:uid="{00000000-0002-0000-0200-000017000000}">
      <formula1>"无,&lt;10%,&gt;10%"</formula1>
    </dataValidation>
    <dataValidation type="list" showInputMessage="1" showErrorMessage="1" sqref="C65:C66" xr:uid="{00000000-0002-0000-0200-000018000000}">
      <formula1>"无,少量,严重(*)"</formula1>
    </dataValidation>
  </dataValidations>
  <pageMargins left="0.69930555555555596" right="0.69930555555555596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M354"/>
  <sheetViews>
    <sheetView zoomScale="130" zoomScaleNormal="130" workbookViewId="0">
      <pane xSplit="1" ySplit="12" topLeftCell="B13" activePane="bottomRight" state="frozen"/>
      <selection pane="topRight"/>
      <selection pane="bottomLeft"/>
      <selection pane="bottomRight" activeCell="K10" sqref="K10"/>
    </sheetView>
  </sheetViews>
  <sheetFormatPr defaultColWidth="9" defaultRowHeight="13"/>
  <cols>
    <col min="1" max="1" width="10" style="11" customWidth="1"/>
    <col min="2" max="2" width="13" style="11" customWidth="1"/>
    <col min="3" max="3" width="14.08984375" style="11" customWidth="1"/>
    <col min="4" max="4" width="9.26953125" style="11" customWidth="1"/>
    <col min="5" max="8" width="7.90625" style="11" customWidth="1"/>
    <col min="9" max="9" width="10.90625" style="11" customWidth="1"/>
    <col min="10" max="12" width="7.90625" style="11" customWidth="1"/>
    <col min="13" max="13" width="8.36328125" style="11" customWidth="1"/>
    <col min="14" max="14" width="8.7265625" style="11" customWidth="1"/>
    <col min="15" max="15" width="9.6328125" style="11" customWidth="1"/>
    <col min="16" max="16" width="9.7265625" style="11" customWidth="1"/>
    <col min="17" max="22" width="9" style="11" customWidth="1"/>
    <col min="23" max="29" width="9" style="10" customWidth="1"/>
    <col min="30" max="30" width="9.36328125" style="10" customWidth="1"/>
    <col min="31" max="40" width="4.453125" style="10" customWidth="1"/>
    <col min="41" max="65" width="9" style="10" customWidth="1"/>
    <col min="66" max="67" width="9" style="11" customWidth="1"/>
    <col min="68" max="16384" width="9" style="11"/>
  </cols>
  <sheetData>
    <row r="1" spans="1:40" ht="18.75" customHeight="1">
      <c r="A1" s="12" t="s">
        <v>196</v>
      </c>
      <c r="B1" s="12" t="s">
        <v>197</v>
      </c>
      <c r="C1" s="12" t="s">
        <v>198</v>
      </c>
      <c r="D1" s="12" t="s">
        <v>199</v>
      </c>
      <c r="E1" s="12" t="s">
        <v>200</v>
      </c>
      <c r="F1" s="12" t="s">
        <v>201</v>
      </c>
      <c r="G1" s="12" t="s">
        <v>202</v>
      </c>
      <c r="H1" s="12" t="s">
        <v>203</v>
      </c>
      <c r="I1" s="12" t="s">
        <v>204</v>
      </c>
      <c r="J1" s="12" t="s">
        <v>205</v>
      </c>
      <c r="K1" s="12" t="s">
        <v>206</v>
      </c>
      <c r="L1" s="12" t="s">
        <v>207</v>
      </c>
      <c r="M1" s="12" t="s">
        <v>208</v>
      </c>
      <c r="N1" s="12" t="s">
        <v>129</v>
      </c>
      <c r="O1" s="12" t="s">
        <v>130</v>
      </c>
      <c r="P1" s="12" t="s">
        <v>196</v>
      </c>
      <c r="Q1" s="12" t="s">
        <v>4</v>
      </c>
      <c r="R1" s="12" t="s">
        <v>208</v>
      </c>
      <c r="S1" s="12" t="s">
        <v>129</v>
      </c>
      <c r="T1" s="12" t="s">
        <v>130</v>
      </c>
      <c r="U1" s="12" t="s">
        <v>199</v>
      </c>
      <c r="V1" s="12" t="s">
        <v>4</v>
      </c>
      <c r="AE1" s="178" t="s">
        <v>108</v>
      </c>
      <c r="AF1" s="115"/>
      <c r="AG1" s="178" t="s">
        <v>109</v>
      </c>
      <c r="AH1" s="114"/>
      <c r="AI1" s="114"/>
      <c r="AJ1" s="114"/>
      <c r="AK1" s="114"/>
      <c r="AL1" s="114"/>
      <c r="AM1" s="114"/>
      <c r="AN1" s="115"/>
    </row>
    <row r="2" spans="1:40" ht="14.25" customHeight="1">
      <c r="A2" s="14" t="str">
        <f>IF($M$11=1,"台帽",IF($M$11=2,"台帽",IF($M$11=3,"台帽")))</f>
        <v>台帽</v>
      </c>
      <c r="B2" s="15">
        <v>100</v>
      </c>
      <c r="C2" s="15">
        <v>100</v>
      </c>
      <c r="D2" s="12" t="str">
        <f>IF($M$11=1,"盖梁",IF($M$11=2,"盖梁",IF($M$11=3,"盖梁")))</f>
        <v>盖梁</v>
      </c>
      <c r="E2" s="15">
        <v>100</v>
      </c>
      <c r="F2" s="15">
        <v>100</v>
      </c>
      <c r="G2" s="15">
        <v>100</v>
      </c>
      <c r="H2" s="15">
        <v>100</v>
      </c>
      <c r="I2" s="15">
        <v>100</v>
      </c>
      <c r="J2" s="15">
        <v>100</v>
      </c>
      <c r="K2" s="15">
        <v>100</v>
      </c>
      <c r="L2" s="15">
        <v>100</v>
      </c>
      <c r="M2" s="16" t="str">
        <f>IF($M$11=1,"0.15",IF($M$11=2,"0.10",IF($M$11=3,"0.20")))</f>
        <v>0.15</v>
      </c>
      <c r="N2" s="17">
        <v>0.15</v>
      </c>
      <c r="O2" s="18">
        <f>N2/SUM(N$2:N$6)</f>
        <v>0.15</v>
      </c>
      <c r="P2" s="12" t="str">
        <f>A2</f>
        <v>台帽</v>
      </c>
      <c r="Q2" s="19">
        <f>SUM(AE2:AF2)/$A$9</f>
        <v>100</v>
      </c>
      <c r="R2" s="16" t="str">
        <f>IF($M$11=1,"0.15",IF($M$11=2,"0.10",IF($M$11=3,"0.18")))</f>
        <v>0.15</v>
      </c>
      <c r="S2" s="17">
        <v>0.15</v>
      </c>
      <c r="T2" s="18">
        <f>S2/SUM(S$2:S$6)</f>
        <v>0.15</v>
      </c>
      <c r="U2" s="12" t="str">
        <f>D2</f>
        <v>盖梁</v>
      </c>
      <c r="V2" s="19">
        <f>IF(D$9=0,0,SUM(AG2:AN2)/$D$9)</f>
        <v>120</v>
      </c>
      <c r="W2" s="20"/>
      <c r="X2" s="20"/>
      <c r="Y2" s="20"/>
      <c r="Z2" s="20"/>
      <c r="AA2" s="20"/>
      <c r="AB2" s="20"/>
      <c r="AC2" s="20"/>
      <c r="AD2" s="21"/>
      <c r="AE2" s="13">
        <f t="shared" ref="AE2:AF6" si="0">B2*B$9</f>
        <v>100</v>
      </c>
      <c r="AF2" s="13">
        <f t="shared" si="0"/>
        <v>100</v>
      </c>
      <c r="AG2" s="13">
        <f t="shared" ref="AG2:AM6" si="1">E2*E$9</f>
        <v>100</v>
      </c>
      <c r="AH2" s="13">
        <f t="shared" si="1"/>
        <v>100</v>
      </c>
      <c r="AI2" s="13">
        <f t="shared" si="1"/>
        <v>100</v>
      </c>
      <c r="AJ2" s="13">
        <f t="shared" si="1"/>
        <v>100</v>
      </c>
      <c r="AK2" s="13">
        <f t="shared" si="1"/>
        <v>100</v>
      </c>
      <c r="AL2" s="13">
        <f t="shared" si="1"/>
        <v>0</v>
      </c>
      <c r="AM2" s="13">
        <f t="shared" si="1"/>
        <v>0</v>
      </c>
      <c r="AN2" s="13">
        <f>L2*M$11</f>
        <v>100</v>
      </c>
    </row>
    <row r="3" spans="1:40" ht="14.25" customHeight="1">
      <c r="A3" s="14" t="str">
        <f>IF($M$11=1,"台身",IF($M$11=2,"台身",IF($M$11=3,"台身")))</f>
        <v>台身</v>
      </c>
      <c r="B3" s="15">
        <v>100</v>
      </c>
      <c r="C3" s="15">
        <v>100</v>
      </c>
      <c r="D3" s="12" t="str">
        <f>IF($M$11=1,"墩身",IF($M$11=2,"墩身",IF($M$11=3,"墩身")))</f>
        <v>墩身</v>
      </c>
      <c r="E3" s="15">
        <v>100</v>
      </c>
      <c r="F3" s="15">
        <v>100</v>
      </c>
      <c r="G3" s="15">
        <v>100</v>
      </c>
      <c r="H3" s="15">
        <v>100</v>
      </c>
      <c r="I3" s="15">
        <v>100</v>
      </c>
      <c r="J3" s="15">
        <v>100</v>
      </c>
      <c r="K3" s="15">
        <v>100</v>
      </c>
      <c r="L3" s="15">
        <v>100</v>
      </c>
      <c r="M3" s="16" t="str">
        <f>IF($M$11=1,"0.20",IF($M$11=2,"0.30",IF($M$11=3,"0.40")))</f>
        <v>0.20</v>
      </c>
      <c r="N3" s="17">
        <v>0.2</v>
      </c>
      <c r="O3" s="18">
        <f>N3/SUM(N$2:N$6)</f>
        <v>0.2</v>
      </c>
      <c r="P3" s="12" t="str">
        <f>A3</f>
        <v>台身</v>
      </c>
      <c r="Q3" s="19">
        <f>SUM(AE3:AF3)/$A$9</f>
        <v>100</v>
      </c>
      <c r="R3" s="16" t="str">
        <f>IF($M$11=1,"0.30",IF($M$11=2,"0.30",IF($M$11=3,"0.34")))</f>
        <v>0.30</v>
      </c>
      <c r="S3" s="17">
        <v>0.3</v>
      </c>
      <c r="T3" s="18">
        <f>S3/SUM(S$2:S$6)</f>
        <v>0.3</v>
      </c>
      <c r="U3" s="12" t="str">
        <f>D3</f>
        <v>墩身</v>
      </c>
      <c r="V3" s="19">
        <f>IF(D$9=0,0,SUM(AG3:AN3)/$D$9)</f>
        <v>120</v>
      </c>
      <c r="W3" s="20"/>
      <c r="X3" s="20"/>
      <c r="Y3" s="20"/>
      <c r="Z3" s="20"/>
      <c r="AA3" s="20"/>
      <c r="AB3" s="20"/>
      <c r="AC3" s="20"/>
      <c r="AD3" s="21"/>
      <c r="AE3" s="13">
        <f t="shared" si="0"/>
        <v>100</v>
      </c>
      <c r="AF3" s="13">
        <f t="shared" si="0"/>
        <v>100</v>
      </c>
      <c r="AG3" s="13">
        <f t="shared" si="1"/>
        <v>100</v>
      </c>
      <c r="AH3" s="13">
        <f t="shared" si="1"/>
        <v>100</v>
      </c>
      <c r="AI3" s="13">
        <f t="shared" si="1"/>
        <v>100</v>
      </c>
      <c r="AJ3" s="13">
        <f t="shared" si="1"/>
        <v>100</v>
      </c>
      <c r="AK3" s="13">
        <f t="shared" si="1"/>
        <v>100</v>
      </c>
      <c r="AL3" s="13">
        <f t="shared" si="1"/>
        <v>0</v>
      </c>
      <c r="AM3" s="13">
        <f t="shared" si="1"/>
        <v>0</v>
      </c>
      <c r="AN3" s="13">
        <f>L3*M$11</f>
        <v>100</v>
      </c>
    </row>
    <row r="4" spans="1:40" ht="14.25" customHeight="1">
      <c r="A4" s="14" t="str">
        <f>IF($M$11=1,"基础",IF($M$11=2,"基础",IF($M$11=3,"基础")))</f>
        <v>基础</v>
      </c>
      <c r="B4" s="15">
        <v>100</v>
      </c>
      <c r="C4" s="15">
        <v>100</v>
      </c>
      <c r="D4" s="12" t="str">
        <f>IF($M$11=1,"基础",IF($M$11=2,"基础",IF($M$11=3,"基础")))</f>
        <v>基础</v>
      </c>
      <c r="E4" s="15">
        <v>100</v>
      </c>
      <c r="F4" s="15">
        <v>100</v>
      </c>
      <c r="G4" s="15">
        <v>100</v>
      </c>
      <c r="H4" s="15">
        <v>100</v>
      </c>
      <c r="I4" s="15">
        <v>100</v>
      </c>
      <c r="J4" s="15">
        <v>100</v>
      </c>
      <c r="K4" s="15">
        <v>100</v>
      </c>
      <c r="L4" s="15">
        <v>80</v>
      </c>
      <c r="M4" s="16" t="str">
        <f>IF($M$11=1,"0.40",IF($M$11=2,"0.35",IF($M$11=3,"0.20")))</f>
        <v>0.40</v>
      </c>
      <c r="N4" s="17">
        <v>0.4</v>
      </c>
      <c r="O4" s="18">
        <f>N4/SUM(N$2:N$6)</f>
        <v>0.4</v>
      </c>
      <c r="P4" s="12" t="str">
        <f>A4</f>
        <v>基础</v>
      </c>
      <c r="Q4" s="19">
        <f>SUM(AE4:AF4)/$A$9</f>
        <v>100</v>
      </c>
      <c r="R4" s="16" t="str">
        <f>IF($M$11=1,"0.40",IF($M$11=2,"0.45",IF($M$11=3,"0.20")))</f>
        <v>0.40</v>
      </c>
      <c r="S4" s="17">
        <v>0.4</v>
      </c>
      <c r="T4" s="18">
        <f>S4/SUM(S$2:S$6)</f>
        <v>0.4</v>
      </c>
      <c r="U4" s="12" t="str">
        <f>D4</f>
        <v>基础</v>
      </c>
      <c r="V4" s="19">
        <f>IF(D$9=0,0,SUM(AG4:AN4)/$D$9)</f>
        <v>116</v>
      </c>
      <c r="W4" s="20"/>
      <c r="X4" s="20"/>
      <c r="Y4" s="20"/>
      <c r="Z4" s="20"/>
      <c r="AA4" s="20"/>
      <c r="AB4" s="20"/>
      <c r="AC4" s="20"/>
      <c r="AD4" s="21"/>
      <c r="AE4" s="13">
        <f t="shared" si="0"/>
        <v>100</v>
      </c>
      <c r="AF4" s="13">
        <f t="shared" si="0"/>
        <v>100</v>
      </c>
      <c r="AG4" s="13">
        <f t="shared" si="1"/>
        <v>100</v>
      </c>
      <c r="AH4" s="13">
        <f t="shared" si="1"/>
        <v>100</v>
      </c>
      <c r="AI4" s="13">
        <f t="shared" si="1"/>
        <v>100</v>
      </c>
      <c r="AJ4" s="13">
        <f t="shared" si="1"/>
        <v>100</v>
      </c>
      <c r="AK4" s="13">
        <f t="shared" si="1"/>
        <v>100</v>
      </c>
      <c r="AL4" s="13">
        <f t="shared" si="1"/>
        <v>0</v>
      </c>
      <c r="AM4" s="13">
        <f t="shared" si="1"/>
        <v>0</v>
      </c>
      <c r="AN4" s="13">
        <f>L4*M$11</f>
        <v>80</v>
      </c>
    </row>
    <row r="5" spans="1:40" ht="14.25" customHeight="1">
      <c r="A5" s="14" t="str">
        <f>IF($M$11=1,"耳墙（翼墙）",IF($M$11=2,"耳墙（翼墙）",IF($M$11=3,"支座")))</f>
        <v>耳墙（翼墙）</v>
      </c>
      <c r="B5" s="15">
        <v>100</v>
      </c>
      <c r="C5" s="15">
        <v>100</v>
      </c>
      <c r="D5" s="12" t="str">
        <f>IF($M$11=1,"支座",IF($M$11=2,"拱脚",IF($M$11=3,"外部装饰板")))</f>
        <v>支座</v>
      </c>
      <c r="E5" s="15">
        <v>100</v>
      </c>
      <c r="F5" s="15">
        <v>100</v>
      </c>
      <c r="G5" s="15">
        <v>100</v>
      </c>
      <c r="H5" s="15">
        <v>100</v>
      </c>
      <c r="I5" s="15">
        <v>100</v>
      </c>
      <c r="J5" s="15">
        <v>80</v>
      </c>
      <c r="K5" s="15">
        <v>100</v>
      </c>
      <c r="L5" s="15">
        <v>100</v>
      </c>
      <c r="M5" s="16" t="str">
        <f>IF($M$11=1,"0.10",IF($M$11=2,"0.10",IF($M$11=3,"0.20")))</f>
        <v>0.10</v>
      </c>
      <c r="N5" s="17">
        <v>0.1</v>
      </c>
      <c r="O5" s="18">
        <f>N5/SUM(N$2:N$6)</f>
        <v>0.1</v>
      </c>
      <c r="P5" s="12" t="str">
        <f>A5</f>
        <v>耳墙（翼墙）</v>
      </c>
      <c r="Q5" s="19">
        <f>SUM(AE5:AF5)/$A$9</f>
        <v>100</v>
      </c>
      <c r="R5" s="16" t="str">
        <f>IF($M$11=1,"0.15",IF($M$11=2,"0.15",IF($M$11=3,"0.10")))</f>
        <v>0.15</v>
      </c>
      <c r="S5" s="17">
        <v>0.15</v>
      </c>
      <c r="T5" s="18">
        <f>S5/SUM(S$2:S$6)</f>
        <v>0.15</v>
      </c>
      <c r="U5" s="12" t="str">
        <f>D5</f>
        <v>支座</v>
      </c>
      <c r="V5" s="19">
        <f>IF(D$9=0,0,SUM(AG5:AN5)/$D$9)</f>
        <v>120</v>
      </c>
      <c r="W5" s="20"/>
      <c r="X5" s="20"/>
      <c r="Y5" s="20"/>
      <c r="Z5" s="20"/>
      <c r="AA5" s="20"/>
      <c r="AB5" s="20"/>
      <c r="AC5" s="20"/>
      <c r="AD5" s="21"/>
      <c r="AE5" s="13">
        <f t="shared" si="0"/>
        <v>100</v>
      </c>
      <c r="AF5" s="13">
        <f t="shared" si="0"/>
        <v>100</v>
      </c>
      <c r="AG5" s="13">
        <f t="shared" si="1"/>
        <v>100</v>
      </c>
      <c r="AH5" s="13">
        <f t="shared" si="1"/>
        <v>100</v>
      </c>
      <c r="AI5" s="13">
        <f t="shared" si="1"/>
        <v>100</v>
      </c>
      <c r="AJ5" s="13">
        <f t="shared" si="1"/>
        <v>100</v>
      </c>
      <c r="AK5" s="13">
        <f t="shared" si="1"/>
        <v>100</v>
      </c>
      <c r="AL5" s="13">
        <f t="shared" si="1"/>
        <v>0</v>
      </c>
      <c r="AM5" s="13">
        <f t="shared" si="1"/>
        <v>0</v>
      </c>
      <c r="AN5" s="13">
        <f>L5*M$11</f>
        <v>100</v>
      </c>
    </row>
    <row r="6" spans="1:40" ht="14.25" customHeight="1">
      <c r="A6" s="14" t="str">
        <f>IF($M$11=1,"支座",IF($M$11=2,"拱脚",IF($M$11=3,"无")))</f>
        <v>支座</v>
      </c>
      <c r="B6" s="15">
        <v>100</v>
      </c>
      <c r="C6" s="15">
        <v>100</v>
      </c>
      <c r="D6" s="12" t="str">
        <f>IF($M$11=1,"无",IF($M$11=2,"无",IF($M$11=3,"支座")))</f>
        <v>无</v>
      </c>
      <c r="E6" s="15">
        <v>100</v>
      </c>
      <c r="F6" s="15">
        <v>100</v>
      </c>
      <c r="G6" s="15">
        <v>100</v>
      </c>
      <c r="H6" s="15">
        <v>100</v>
      </c>
      <c r="I6" s="15">
        <v>100</v>
      </c>
      <c r="J6" s="15">
        <v>100</v>
      </c>
      <c r="K6" s="15">
        <v>100</v>
      </c>
      <c r="L6" s="15">
        <v>100</v>
      </c>
      <c r="M6" s="16" t="str">
        <f>IF($M$11=1,"0.15",IF($M$11=2,"0.15",IF($M$11=3,"0")))</f>
        <v>0.15</v>
      </c>
      <c r="N6" s="17">
        <v>0.15</v>
      </c>
      <c r="O6" s="18">
        <f>N6/SUM(N$2:N$6)</f>
        <v>0.15</v>
      </c>
      <c r="P6" s="12" t="str">
        <f>A6</f>
        <v>支座</v>
      </c>
      <c r="Q6" s="19">
        <f>SUM(AE6:AF6)/$A$9</f>
        <v>100</v>
      </c>
      <c r="R6" s="16" t="str">
        <f>IF($M$11=1,"0",IF($M$11=2,"0",IF($M$11=3,"0.18")))</f>
        <v>0</v>
      </c>
      <c r="S6" s="17">
        <v>0</v>
      </c>
      <c r="T6" s="18">
        <f>S6/SUM(S$2:S$6)</f>
        <v>0</v>
      </c>
      <c r="U6" s="12" t="str">
        <f>D6</f>
        <v>无</v>
      </c>
      <c r="V6" s="19">
        <f>IF(D$9=0,0,SUM(AG6:AN6)/$D$9)</f>
        <v>120</v>
      </c>
      <c r="W6" s="20"/>
      <c r="X6" s="20"/>
      <c r="Y6" s="20"/>
      <c r="Z6" s="20"/>
      <c r="AA6" s="20"/>
      <c r="AB6" s="20"/>
      <c r="AC6" s="20"/>
      <c r="AD6" s="21"/>
      <c r="AE6" s="13">
        <f t="shared" si="0"/>
        <v>100</v>
      </c>
      <c r="AF6" s="13">
        <f t="shared" si="0"/>
        <v>100</v>
      </c>
      <c r="AG6" s="13">
        <f t="shared" si="1"/>
        <v>100</v>
      </c>
      <c r="AH6" s="13">
        <f t="shared" si="1"/>
        <v>100</v>
      </c>
      <c r="AI6" s="13">
        <f t="shared" si="1"/>
        <v>100</v>
      </c>
      <c r="AJ6" s="13">
        <f t="shared" si="1"/>
        <v>100</v>
      </c>
      <c r="AK6" s="13">
        <f t="shared" si="1"/>
        <v>100</v>
      </c>
      <c r="AL6" s="13">
        <f t="shared" si="1"/>
        <v>0</v>
      </c>
      <c r="AM6" s="13">
        <f t="shared" si="1"/>
        <v>0</v>
      </c>
      <c r="AN6" s="13">
        <f>L6*M$11</f>
        <v>100</v>
      </c>
    </row>
    <row r="7" spans="1:40" ht="14.25" customHeight="1">
      <c r="A7" s="12" t="s">
        <v>209</v>
      </c>
      <c r="B7" s="18">
        <f>B2*$O$2+B3*$O$3+B4*$O$4+B5*$O$5+B6*$O$6</f>
        <v>100</v>
      </c>
      <c r="C7" s="18">
        <f>C2*$O$2+C3*$O$3+C4*$O$4+C5*$O$5+C6*$O$6</f>
        <v>100</v>
      </c>
      <c r="D7" s="12" t="s">
        <v>209</v>
      </c>
      <c r="E7" s="18">
        <f t="shared" ref="E7:L7" si="2">E2*$T$2+E3*$T$3+E4*$T$4+E5*$T$5+E6*$T$6</f>
        <v>100</v>
      </c>
      <c r="F7" s="18">
        <f t="shared" si="2"/>
        <v>100</v>
      </c>
      <c r="G7" s="18">
        <f t="shared" si="2"/>
        <v>100</v>
      </c>
      <c r="H7" s="18">
        <f t="shared" si="2"/>
        <v>100</v>
      </c>
      <c r="I7" s="18">
        <f t="shared" si="2"/>
        <v>100</v>
      </c>
      <c r="J7" s="18">
        <f t="shared" si="2"/>
        <v>97</v>
      </c>
      <c r="K7" s="18">
        <f t="shared" si="2"/>
        <v>100</v>
      </c>
      <c r="L7" s="22">
        <f t="shared" si="2"/>
        <v>92</v>
      </c>
      <c r="M7" s="181" t="s">
        <v>28</v>
      </c>
      <c r="N7" s="119"/>
      <c r="O7" s="183" t="s">
        <v>210</v>
      </c>
      <c r="P7" s="118"/>
      <c r="Q7" s="118"/>
      <c r="R7" s="118"/>
      <c r="S7" s="118"/>
      <c r="T7" s="118"/>
      <c r="U7" s="118"/>
      <c r="V7" s="119"/>
      <c r="W7" s="23"/>
      <c r="X7" s="23"/>
      <c r="Y7" s="23"/>
      <c r="Z7" s="23"/>
      <c r="AA7" s="23"/>
      <c r="AB7" s="23"/>
      <c r="AC7" s="23"/>
      <c r="AD7" s="24"/>
    </row>
    <row r="8" spans="1:40" ht="14.25" customHeight="1">
      <c r="A8" s="25" t="s">
        <v>211</v>
      </c>
      <c r="B8" s="168" t="s">
        <v>212</v>
      </c>
      <c r="C8" s="115"/>
      <c r="D8" s="25" t="s">
        <v>213</v>
      </c>
      <c r="E8" s="179" t="s">
        <v>214</v>
      </c>
      <c r="F8" s="118"/>
      <c r="G8" s="118"/>
      <c r="H8" s="118"/>
      <c r="I8" s="118"/>
      <c r="J8" s="118"/>
      <c r="K8" s="118"/>
      <c r="L8" s="118"/>
      <c r="M8" s="121"/>
      <c r="N8" s="123"/>
      <c r="O8" s="121"/>
      <c r="P8" s="171"/>
      <c r="Q8" s="171"/>
      <c r="R8" s="171"/>
      <c r="S8" s="171"/>
      <c r="T8" s="171"/>
      <c r="U8" s="171"/>
      <c r="V8" s="123"/>
      <c r="W8" s="23"/>
      <c r="X8" s="23"/>
      <c r="Y8" s="23"/>
      <c r="Z8" s="23"/>
      <c r="AA8" s="23"/>
      <c r="AB8" s="23"/>
      <c r="AC8" s="23"/>
      <c r="AD8" s="21"/>
    </row>
    <row r="9" spans="1:40" ht="21" customHeight="1">
      <c r="A9" s="25">
        <f>SUM(B9:C9)</f>
        <v>2</v>
      </c>
      <c r="B9" s="26">
        <v>1</v>
      </c>
      <c r="C9" s="26">
        <v>1</v>
      </c>
      <c r="D9" s="27">
        <f>SUM(E9:L9)</f>
        <v>5</v>
      </c>
      <c r="E9" s="28">
        <v>1</v>
      </c>
      <c r="F9" s="28">
        <v>1</v>
      </c>
      <c r="G9" s="28">
        <v>1</v>
      </c>
      <c r="H9" s="28">
        <v>1</v>
      </c>
      <c r="I9" s="28">
        <v>1</v>
      </c>
      <c r="J9" s="28"/>
      <c r="K9" s="28"/>
      <c r="L9" s="29"/>
      <c r="M9" s="124"/>
      <c r="N9" s="126"/>
      <c r="O9" s="121"/>
      <c r="P9" s="171"/>
      <c r="Q9" s="171"/>
      <c r="R9" s="171"/>
      <c r="S9" s="171"/>
      <c r="T9" s="171"/>
      <c r="U9" s="171"/>
      <c r="V9" s="123"/>
      <c r="W9" s="30"/>
      <c r="X9" s="30"/>
      <c r="Y9" s="30"/>
      <c r="Z9" s="30"/>
      <c r="AA9" s="30"/>
      <c r="AB9" s="30"/>
      <c r="AC9" s="30"/>
      <c r="AD9" s="21"/>
    </row>
    <row r="10" spans="1:40" ht="20.25" customHeight="1">
      <c r="A10" s="18">
        <f>SUM(B10:C10)</f>
        <v>200</v>
      </c>
      <c r="B10" s="18">
        <f>B7</f>
        <v>100</v>
      </c>
      <c r="C10" s="18">
        <f>C7</f>
        <v>100</v>
      </c>
      <c r="D10" s="18">
        <f>SUM(E10:L10)</f>
        <v>500</v>
      </c>
      <c r="E10" s="18">
        <f t="shared" ref="E10:L10" si="3">E7*E9</f>
        <v>100</v>
      </c>
      <c r="F10" s="18">
        <f t="shared" si="3"/>
        <v>100</v>
      </c>
      <c r="G10" s="18">
        <f t="shared" si="3"/>
        <v>100</v>
      </c>
      <c r="H10" s="18">
        <f t="shared" si="3"/>
        <v>100</v>
      </c>
      <c r="I10" s="18">
        <f t="shared" si="3"/>
        <v>100</v>
      </c>
      <c r="J10" s="18">
        <f t="shared" si="3"/>
        <v>0</v>
      </c>
      <c r="K10" s="18">
        <f t="shared" si="3"/>
        <v>0</v>
      </c>
      <c r="L10" s="22">
        <f t="shared" si="3"/>
        <v>0</v>
      </c>
      <c r="M10" s="12"/>
      <c r="N10" s="12"/>
      <c r="O10" s="121"/>
      <c r="P10" s="171"/>
      <c r="Q10" s="171"/>
      <c r="R10" s="171"/>
      <c r="S10" s="171"/>
      <c r="T10" s="171"/>
      <c r="U10" s="171"/>
      <c r="V10" s="123"/>
      <c r="W10" s="30"/>
      <c r="X10" s="30"/>
      <c r="Y10" s="30"/>
      <c r="Z10" s="30"/>
      <c r="AA10" s="30"/>
      <c r="AB10" s="30"/>
      <c r="AC10" s="30"/>
      <c r="AD10" s="21"/>
    </row>
    <row r="11" spans="1:40" ht="31.5" customHeight="1">
      <c r="A11" s="31" t="s">
        <v>215</v>
      </c>
      <c r="B11" s="32">
        <f>IF(A9&gt;0,A10/A9,0)</f>
        <v>100</v>
      </c>
      <c r="C11" s="182" t="s">
        <v>216</v>
      </c>
      <c r="D11" s="115"/>
      <c r="E11" s="33">
        <f>IF(D9&gt;0,D10/D9,0)</f>
        <v>100</v>
      </c>
      <c r="F11" s="176" t="s">
        <v>217</v>
      </c>
      <c r="G11" s="115"/>
      <c r="H11" s="34">
        <f>(D10+A10)/(A9+D9)</f>
        <v>100</v>
      </c>
      <c r="I11" s="177" t="s">
        <v>218</v>
      </c>
      <c r="J11" s="115"/>
      <c r="K11" s="34">
        <f>MIN(IF(B9&gt;0,B10,100),IF(C9&gt;0,C10,100),IF(E9&gt;0,E10,100),IF(F9&gt;0,F10,100),IF(G9&gt;0,G10,100),IF(H9&gt;0,H10,100),IF(I9&gt;0,I10,100),IF(J9&gt;0,J10,100),IF(K9&gt;0,K10,100),IF(L9&gt;0,L10,100))</f>
        <v>100</v>
      </c>
      <c r="M11" s="185">
        <v>1</v>
      </c>
      <c r="N11" s="135"/>
      <c r="O11" s="121"/>
      <c r="P11" s="171"/>
      <c r="Q11" s="171"/>
      <c r="R11" s="171"/>
      <c r="S11" s="171"/>
      <c r="T11" s="171"/>
      <c r="U11" s="171"/>
      <c r="V11" s="123"/>
      <c r="W11" s="30"/>
      <c r="X11" s="30"/>
      <c r="Y11" s="30"/>
      <c r="Z11" s="30"/>
      <c r="AA11" s="30"/>
      <c r="AB11" s="30"/>
      <c r="AC11" s="30"/>
      <c r="AD11" s="21"/>
    </row>
    <row r="12" spans="1:40" ht="27" customHeight="1">
      <c r="A12" s="35" t="s">
        <v>118</v>
      </c>
      <c r="B12" s="35" t="s">
        <v>18</v>
      </c>
      <c r="C12" s="35" t="s">
        <v>19</v>
      </c>
      <c r="D12" s="35" t="s">
        <v>137</v>
      </c>
      <c r="E12" s="35" t="s">
        <v>138</v>
      </c>
      <c r="F12" s="35" t="s">
        <v>22</v>
      </c>
      <c r="G12" s="35" t="s">
        <v>139</v>
      </c>
      <c r="H12" s="36" t="s">
        <v>140</v>
      </c>
      <c r="I12" s="35" t="s">
        <v>141</v>
      </c>
      <c r="J12" s="35" t="s">
        <v>26</v>
      </c>
      <c r="K12" s="35" t="s">
        <v>27</v>
      </c>
      <c r="M12" s="139"/>
      <c r="N12" s="141"/>
      <c r="O12" s="124"/>
      <c r="P12" s="125"/>
      <c r="Q12" s="125"/>
      <c r="R12" s="125"/>
      <c r="S12" s="125"/>
      <c r="T12" s="125"/>
      <c r="U12" s="125"/>
      <c r="V12" s="126"/>
      <c r="W12" s="30"/>
      <c r="X12" s="30"/>
      <c r="Y12" s="30"/>
      <c r="Z12" s="30"/>
      <c r="AA12" s="30"/>
      <c r="AB12" s="30"/>
      <c r="AC12" s="30"/>
      <c r="AD12" s="21"/>
    </row>
    <row r="13" spans="1:40" ht="13.5" customHeight="1">
      <c r="A13" s="112" t="s">
        <v>219</v>
      </c>
      <c r="B13" s="12" t="s">
        <v>143</v>
      </c>
      <c r="C13" s="38" t="s">
        <v>33</v>
      </c>
      <c r="D13" s="26">
        <f>IF(C13="无",0,IF(C13="&lt;3%",8,IF(C13="3%~10%",15,IF(C13="&gt;10%",25))))</f>
        <v>8</v>
      </c>
      <c r="E13" s="39">
        <f t="shared" ref="E13:E42" si="4">IF(D13=0,0,3*POWER(G13,3)-5.5*POWER(G13,2)+3.5*G13)</f>
        <v>0.59911111111111115</v>
      </c>
      <c r="F13" s="39">
        <f t="shared" ref="F13:F42" si="5">D13*E13</f>
        <v>4.7928888888888892</v>
      </c>
      <c r="G13" s="39">
        <f t="shared" ref="G13:G18" si="6">IF(SUM(D$13:D$18)=0,0,D13/(SUM(D$13:D$18)))</f>
        <v>0.26666666666666666</v>
      </c>
      <c r="H13" s="184">
        <f>MAX(D13:D18)</f>
        <v>12</v>
      </c>
      <c r="I13" s="180">
        <f>SUM(F13:F18)</f>
        <v>20.003555555555554</v>
      </c>
      <c r="J13" s="180">
        <f>IF(I13&lt;H13,H13,IF(I13&gt;=100,"100",IF(I13&gt;=H13,I13)))</f>
        <v>20.003555555555554</v>
      </c>
      <c r="K13" s="180">
        <f>100-J13</f>
        <v>79.99644444444445</v>
      </c>
      <c r="L13" s="170" t="s">
        <v>14</v>
      </c>
      <c r="M13" s="118"/>
      <c r="N13" s="118"/>
      <c r="O13" s="118"/>
      <c r="P13" s="118"/>
      <c r="Q13" s="118"/>
      <c r="R13" s="119"/>
      <c r="S13" s="40"/>
      <c r="T13" s="40"/>
      <c r="U13" s="40"/>
      <c r="V13" s="40"/>
      <c r="W13" s="40"/>
      <c r="X13" s="40"/>
      <c r="AD13" s="24"/>
    </row>
    <row r="14" spans="1:40" ht="13.5" customHeight="1">
      <c r="A14" s="108"/>
      <c r="B14" s="12" t="s">
        <v>144</v>
      </c>
      <c r="C14" s="28" t="s">
        <v>220</v>
      </c>
      <c r="D14" s="26">
        <f>IF(C14="无",0,IF(C14="&lt;1%",12,IF(C14="1%~2%",20,IF(C14="&gt;2%",30))))</f>
        <v>12</v>
      </c>
      <c r="E14" s="39">
        <f t="shared" si="4"/>
        <v>0.71200000000000008</v>
      </c>
      <c r="F14" s="39">
        <f t="shared" si="5"/>
        <v>8.5440000000000005</v>
      </c>
      <c r="G14" s="39">
        <f t="shared" si="6"/>
        <v>0.4</v>
      </c>
      <c r="H14" s="108"/>
      <c r="I14" s="108"/>
      <c r="J14" s="108"/>
      <c r="K14" s="108"/>
      <c r="L14" s="121"/>
      <c r="M14" s="171"/>
      <c r="N14" s="171"/>
      <c r="O14" s="171"/>
      <c r="P14" s="171"/>
      <c r="Q14" s="171"/>
      <c r="R14" s="123"/>
      <c r="S14" s="43"/>
      <c r="T14" s="43"/>
      <c r="U14" s="43"/>
      <c r="V14" s="43"/>
      <c r="W14" s="43"/>
      <c r="X14" s="43"/>
      <c r="Y14" s="20"/>
      <c r="Z14" s="20"/>
      <c r="AA14" s="20"/>
      <c r="AB14" s="20"/>
      <c r="AC14" s="20"/>
    </row>
    <row r="15" spans="1:40" ht="13.5" customHeight="1">
      <c r="A15" s="108"/>
      <c r="B15" s="12" t="s">
        <v>145</v>
      </c>
      <c r="C15" s="28" t="s">
        <v>220</v>
      </c>
      <c r="D15" s="26">
        <f>IF(C15="无",0,IF(C15="&lt;1%",10,IF(C15="1%~2%",15,IF(C15="&gt;2%",25))))</f>
        <v>10</v>
      </c>
      <c r="E15" s="39">
        <f t="shared" si="4"/>
        <v>0.66666666666666652</v>
      </c>
      <c r="F15" s="39">
        <f t="shared" si="5"/>
        <v>6.6666666666666652</v>
      </c>
      <c r="G15" s="39">
        <f t="shared" si="6"/>
        <v>0.33333333333333331</v>
      </c>
      <c r="H15" s="108"/>
      <c r="I15" s="108"/>
      <c r="J15" s="108"/>
      <c r="K15" s="108"/>
      <c r="L15" s="121"/>
      <c r="M15" s="171"/>
      <c r="N15" s="171"/>
      <c r="O15" s="171"/>
      <c r="P15" s="171"/>
      <c r="Q15" s="171"/>
      <c r="R15" s="123"/>
      <c r="S15" s="43"/>
      <c r="T15" s="43"/>
      <c r="U15" s="43"/>
      <c r="V15" s="43"/>
      <c r="W15" s="43"/>
      <c r="X15" s="43"/>
      <c r="Y15" s="20"/>
      <c r="Z15" s="20"/>
      <c r="AA15" s="20"/>
      <c r="AB15" s="20"/>
      <c r="AC15" s="20"/>
    </row>
    <row r="16" spans="1:40" ht="13.5" customHeight="1">
      <c r="A16" s="108"/>
      <c r="B16" s="12" t="s">
        <v>147</v>
      </c>
      <c r="C16" s="28" t="s">
        <v>30</v>
      </c>
      <c r="D16" s="26">
        <f>IF(C16="无",0,IF(C16="明显",20,IF(C16="严重",30)))</f>
        <v>0</v>
      </c>
      <c r="E16" s="39">
        <f t="shared" si="4"/>
        <v>0</v>
      </c>
      <c r="F16" s="39">
        <f t="shared" si="5"/>
        <v>0</v>
      </c>
      <c r="G16" s="39">
        <f t="shared" si="6"/>
        <v>0</v>
      </c>
      <c r="H16" s="108"/>
      <c r="I16" s="108"/>
      <c r="J16" s="108"/>
      <c r="K16" s="108"/>
      <c r="L16" s="124"/>
      <c r="M16" s="125"/>
      <c r="N16" s="125"/>
      <c r="O16" s="125"/>
      <c r="P16" s="125"/>
      <c r="Q16" s="125"/>
      <c r="R16" s="126"/>
      <c r="S16" s="43"/>
      <c r="T16" s="43"/>
      <c r="U16" s="43"/>
      <c r="V16" s="43"/>
      <c r="W16" s="43"/>
      <c r="X16" s="43"/>
      <c r="Y16" s="20"/>
      <c r="Z16" s="20"/>
      <c r="AA16" s="20"/>
      <c r="AB16" s="20"/>
      <c r="AC16" s="20"/>
    </row>
    <row r="17" spans="1:29" ht="13.5" customHeight="1">
      <c r="A17" s="108"/>
      <c r="B17" s="12" t="s">
        <v>148</v>
      </c>
      <c r="C17" s="38" t="s">
        <v>30</v>
      </c>
      <c r="D17" s="26">
        <f>IF(C17="无",0,IF(C17="轻微",15,IF(C17="严重",40)))</f>
        <v>0</v>
      </c>
      <c r="E17" s="39">
        <f t="shared" si="4"/>
        <v>0</v>
      </c>
      <c r="F17" s="39">
        <f t="shared" si="5"/>
        <v>0</v>
      </c>
      <c r="G17" s="39">
        <f t="shared" si="6"/>
        <v>0</v>
      </c>
      <c r="H17" s="108"/>
      <c r="I17" s="108"/>
      <c r="J17" s="108"/>
      <c r="K17" s="108"/>
      <c r="L17" s="40"/>
      <c r="M17" s="40"/>
      <c r="N17" s="40"/>
      <c r="O17" s="40"/>
      <c r="P17" s="40"/>
      <c r="Q17" s="40"/>
      <c r="R17" s="43"/>
      <c r="S17" s="43"/>
      <c r="T17" s="43"/>
      <c r="U17" s="43"/>
      <c r="V17" s="43"/>
      <c r="W17" s="43"/>
      <c r="X17" s="43"/>
      <c r="Y17" s="20"/>
      <c r="Z17" s="20"/>
      <c r="AA17" s="20"/>
      <c r="AB17" s="20"/>
      <c r="AC17" s="20"/>
    </row>
    <row r="18" spans="1:29" ht="13.5" customHeight="1">
      <c r="A18" s="109"/>
      <c r="B18" s="12" t="s">
        <v>221</v>
      </c>
      <c r="C18" s="28" t="s">
        <v>30</v>
      </c>
      <c r="D18" s="26">
        <f>IF(C18="无",0,IF(C18="&lt;1%",5,IF(C18="1%~2%",15,IF(C18="&gt;2%",25))))</f>
        <v>0</v>
      </c>
      <c r="E18" s="39">
        <f t="shared" si="4"/>
        <v>0</v>
      </c>
      <c r="F18" s="39">
        <f t="shared" si="5"/>
        <v>0</v>
      </c>
      <c r="G18" s="39">
        <f t="shared" si="6"/>
        <v>0</v>
      </c>
      <c r="H18" s="108"/>
      <c r="I18" s="108"/>
      <c r="J18" s="108"/>
      <c r="K18" s="108"/>
      <c r="L18" s="40"/>
      <c r="M18" s="40"/>
      <c r="N18" s="40"/>
      <c r="O18" s="40"/>
      <c r="P18" s="40"/>
      <c r="Q18" s="40"/>
      <c r="R18" s="43"/>
      <c r="S18" s="43"/>
      <c r="T18" s="43"/>
      <c r="U18" s="43"/>
      <c r="V18" s="43"/>
      <c r="W18" s="43"/>
      <c r="X18" s="43"/>
      <c r="Y18" s="20"/>
      <c r="Z18" s="20"/>
      <c r="AA18" s="20"/>
      <c r="AB18" s="20"/>
      <c r="AC18" s="20"/>
    </row>
    <row r="19" spans="1:29" ht="13.5" customHeight="1">
      <c r="A19" s="166" t="s">
        <v>222</v>
      </c>
      <c r="B19" s="12" t="s">
        <v>223</v>
      </c>
      <c r="C19" s="28" t="s">
        <v>30</v>
      </c>
      <c r="D19" s="26">
        <f>IF(C19="无",0,IF(C19="非贯通",20,IF(C19="贯通",40)))</f>
        <v>0</v>
      </c>
      <c r="E19" s="39">
        <f t="shared" si="4"/>
        <v>0</v>
      </c>
      <c r="F19" s="39">
        <f t="shared" si="5"/>
        <v>0</v>
      </c>
      <c r="G19" s="39">
        <f t="shared" ref="G19:G25" si="7">IF(SUM(D$19:D$25)=0,0,D19/(SUM(D$19:D$25)))</f>
        <v>0</v>
      </c>
      <c r="H19" s="166">
        <f>MAX(D19:D25)</f>
        <v>12</v>
      </c>
      <c r="I19" s="162">
        <f>SUM(F19:F25)</f>
        <v>16.477836213373404</v>
      </c>
      <c r="J19" s="162">
        <f>IF(I19&lt;H19,H19,IF(I19&gt;=100,"100",IF(I19&gt;=H19,I19)))</f>
        <v>16.477836213373404</v>
      </c>
      <c r="K19" s="162">
        <f>100-J19</f>
        <v>83.522163786626592</v>
      </c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</row>
    <row r="20" spans="1:29" ht="13.5" customHeight="1">
      <c r="A20" s="108"/>
      <c r="B20" s="12" t="s">
        <v>224</v>
      </c>
      <c r="C20" s="28" t="s">
        <v>30</v>
      </c>
      <c r="D20" s="26">
        <f>IF(C20="无",0,IF(C20="非贯通",10,IF(C20="贯通",25)))</f>
        <v>0</v>
      </c>
      <c r="E20" s="39">
        <f t="shared" si="4"/>
        <v>0</v>
      </c>
      <c r="F20" s="39">
        <f t="shared" si="5"/>
        <v>0</v>
      </c>
      <c r="G20" s="39">
        <f t="shared" si="7"/>
        <v>0</v>
      </c>
      <c r="H20" s="108"/>
      <c r="I20" s="108"/>
      <c r="J20" s="108"/>
      <c r="K20" s="108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</row>
    <row r="21" spans="1:29" ht="13.5" customHeight="1">
      <c r="A21" s="108"/>
      <c r="B21" s="12" t="s">
        <v>225</v>
      </c>
      <c r="C21" s="28" t="s">
        <v>59</v>
      </c>
      <c r="D21" s="26">
        <f>IF(C21="完好",0,IF(C21="微裂",15,IF(C21="贯通",35)))</f>
        <v>0</v>
      </c>
      <c r="E21" s="39">
        <f t="shared" si="4"/>
        <v>0</v>
      </c>
      <c r="F21" s="39">
        <f t="shared" si="5"/>
        <v>0</v>
      </c>
      <c r="G21" s="39">
        <f t="shared" si="7"/>
        <v>0</v>
      </c>
      <c r="H21" s="108"/>
      <c r="I21" s="108"/>
      <c r="J21" s="108"/>
      <c r="K21" s="108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</row>
    <row r="22" spans="1:29" ht="13.5" customHeight="1">
      <c r="A22" s="108"/>
      <c r="B22" s="12" t="s">
        <v>145</v>
      </c>
      <c r="C22" s="28" t="s">
        <v>220</v>
      </c>
      <c r="D22" s="44">
        <f>IF(C22="无",0,IF(C22="&lt;1%",10,IF(C22="1%~2%",25,IF(C22="&gt;2%",50))))</f>
        <v>10</v>
      </c>
      <c r="E22" s="39">
        <f t="shared" si="4"/>
        <v>0.73628850488354614</v>
      </c>
      <c r="F22" s="39">
        <f t="shared" si="5"/>
        <v>7.3628850488354614</v>
      </c>
      <c r="G22" s="39">
        <f t="shared" si="7"/>
        <v>0.45454545454545453</v>
      </c>
      <c r="H22" s="108"/>
      <c r="I22" s="108"/>
      <c r="J22" s="108"/>
      <c r="K22" s="108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</row>
    <row r="23" spans="1:29" ht="13.5" customHeight="1">
      <c r="A23" s="108"/>
      <c r="B23" s="12" t="s">
        <v>144</v>
      </c>
      <c r="C23" s="28" t="s">
        <v>220</v>
      </c>
      <c r="D23" s="26">
        <f>IF(C23="无",0,IF(C23="&lt;1%",12,IF(C23="1%~2%",20,IF(C23="&gt;2%",30))))</f>
        <v>12</v>
      </c>
      <c r="E23" s="39">
        <f t="shared" si="4"/>
        <v>0.75957926371149509</v>
      </c>
      <c r="F23" s="39">
        <f t="shared" si="5"/>
        <v>9.114951164537942</v>
      </c>
      <c r="G23" s="39">
        <f t="shared" si="7"/>
        <v>0.54545454545454541</v>
      </c>
      <c r="H23" s="108"/>
      <c r="I23" s="108"/>
      <c r="J23" s="108"/>
      <c r="K23" s="108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</row>
    <row r="24" spans="1:29" ht="13.5" customHeight="1">
      <c r="A24" s="108"/>
      <c r="B24" s="12" t="s">
        <v>226</v>
      </c>
      <c r="C24" s="28" t="s">
        <v>30</v>
      </c>
      <c r="D24" s="26">
        <f>IF(C24="无",0,IF(C24="轻微",30,IF(C24="严重(*)",80)))</f>
        <v>0</v>
      </c>
      <c r="E24" s="39">
        <f t="shared" si="4"/>
        <v>0</v>
      </c>
      <c r="F24" s="39">
        <f t="shared" si="5"/>
        <v>0</v>
      </c>
      <c r="G24" s="39">
        <f t="shared" si="7"/>
        <v>0</v>
      </c>
      <c r="H24" s="108"/>
      <c r="I24" s="108"/>
      <c r="J24" s="108"/>
      <c r="K24" s="108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</row>
    <row r="25" spans="1:29" ht="13.5" customHeight="1">
      <c r="A25" s="109"/>
      <c r="B25" s="12" t="s">
        <v>36</v>
      </c>
      <c r="C25" s="28" t="s">
        <v>30</v>
      </c>
      <c r="D25" s="26">
        <f>IF(C25="无",0,IF(C25="非贯通",25,IF(C25="贯通",50)))</f>
        <v>0</v>
      </c>
      <c r="E25" s="39">
        <f t="shared" si="4"/>
        <v>0</v>
      </c>
      <c r="F25" s="39">
        <f t="shared" si="5"/>
        <v>0</v>
      </c>
      <c r="G25" s="39">
        <f t="shared" si="7"/>
        <v>0</v>
      </c>
      <c r="H25" s="109"/>
      <c r="I25" s="109"/>
      <c r="J25" s="109"/>
      <c r="K25" s="109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</row>
    <row r="26" spans="1:29" ht="13.5" customHeight="1">
      <c r="A26" s="107" t="s">
        <v>227</v>
      </c>
      <c r="B26" s="41" t="s">
        <v>228</v>
      </c>
      <c r="C26" s="45" t="s">
        <v>59</v>
      </c>
      <c r="D26" s="44">
        <f>IF(C26="完好",0,IF(C26="松动",20,IF(C26="锈蚀",30)))</f>
        <v>0</v>
      </c>
      <c r="E26" s="39">
        <f t="shared" si="4"/>
        <v>0</v>
      </c>
      <c r="F26" s="39">
        <f t="shared" si="5"/>
        <v>0</v>
      </c>
      <c r="G26" s="39">
        <f t="shared" ref="G26:G31" si="8">IF(SUM(D$26:D$31)=0,0,D26/(SUM(D$26:D$31)))</f>
        <v>0</v>
      </c>
      <c r="H26" s="166">
        <f>MAX(D26:D31)</f>
        <v>20</v>
      </c>
      <c r="I26" s="162">
        <f>SUM(F26:F31)</f>
        <v>20</v>
      </c>
      <c r="J26" s="162">
        <f>IF(I26&lt;H26,H26,IF(I26&gt;=100,"100",IF(I26&gt;=H26,I26)))</f>
        <v>20</v>
      </c>
      <c r="K26" s="162">
        <f>100-J26</f>
        <v>80</v>
      </c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</row>
    <row r="27" spans="1:29" ht="13.5" customHeight="1">
      <c r="A27" s="108"/>
      <c r="B27" s="41" t="s">
        <v>229</v>
      </c>
      <c r="C27" s="45" t="s">
        <v>59</v>
      </c>
      <c r="D27" s="44">
        <f>IF(C27="完好",0,IF(C27="变形",15,IF(C27="开裂",40)))</f>
        <v>0</v>
      </c>
      <c r="E27" s="39">
        <f t="shared" si="4"/>
        <v>0</v>
      </c>
      <c r="F27" s="39">
        <f t="shared" si="5"/>
        <v>0</v>
      </c>
      <c r="G27" s="39">
        <f t="shared" si="8"/>
        <v>0</v>
      </c>
      <c r="H27" s="108"/>
      <c r="I27" s="108"/>
      <c r="J27" s="108"/>
      <c r="K27" s="108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</row>
    <row r="28" spans="1:29" ht="13.5" customHeight="1">
      <c r="A28" s="108"/>
      <c r="B28" s="41" t="s">
        <v>230</v>
      </c>
      <c r="C28" s="45" t="s">
        <v>59</v>
      </c>
      <c r="D28" s="44">
        <f>IF(C28="完好",0,IF(C28="松动",40,IF(C28="锈蚀",65)))</f>
        <v>0</v>
      </c>
      <c r="E28" s="39">
        <f t="shared" si="4"/>
        <v>0</v>
      </c>
      <c r="F28" s="39">
        <f t="shared" si="5"/>
        <v>0</v>
      </c>
      <c r="G28" s="39">
        <f t="shared" si="8"/>
        <v>0</v>
      </c>
      <c r="H28" s="108"/>
      <c r="I28" s="108"/>
      <c r="J28" s="108"/>
      <c r="K28" s="108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</row>
    <row r="29" spans="1:29" ht="13.5" customHeight="1">
      <c r="A29" s="108"/>
      <c r="B29" s="41" t="s">
        <v>231</v>
      </c>
      <c r="C29" s="45" t="s">
        <v>59</v>
      </c>
      <c r="D29" s="44">
        <f>IF(C29="完好",0,IF(C29="锈蚀",20,IF(C29="碎裂",60)))</f>
        <v>0</v>
      </c>
      <c r="E29" s="39">
        <f t="shared" si="4"/>
        <v>0</v>
      </c>
      <c r="F29" s="39">
        <f t="shared" si="5"/>
        <v>0</v>
      </c>
      <c r="G29" s="39">
        <f t="shared" si="8"/>
        <v>0</v>
      </c>
      <c r="H29" s="108"/>
      <c r="I29" s="108"/>
      <c r="J29" s="108"/>
      <c r="K29" s="108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</row>
    <row r="30" spans="1:29" ht="13.5" customHeight="1">
      <c r="A30" s="108"/>
      <c r="B30" s="41" t="s">
        <v>232</v>
      </c>
      <c r="C30" s="45" t="s">
        <v>233</v>
      </c>
      <c r="D30" s="44">
        <f>IF(C30="稳定",0,IF(C30="不稳",40,IF(C30="落梁危险(*)",80)))</f>
        <v>0</v>
      </c>
      <c r="E30" s="39">
        <f t="shared" si="4"/>
        <v>0</v>
      </c>
      <c r="F30" s="39">
        <f t="shared" si="5"/>
        <v>0</v>
      </c>
      <c r="G30" s="39">
        <f t="shared" si="8"/>
        <v>0</v>
      </c>
      <c r="H30" s="108"/>
      <c r="I30" s="108"/>
      <c r="J30" s="108"/>
      <c r="K30" s="108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</row>
    <row r="31" spans="1:29" ht="13.5" customHeight="1">
      <c r="A31" s="109"/>
      <c r="B31" s="41" t="s">
        <v>234</v>
      </c>
      <c r="C31" s="45" t="s">
        <v>149</v>
      </c>
      <c r="D31" s="44">
        <f>IF(C31="完好",0,IF(C31="轻微",20,IF(C31="严重",40)))</f>
        <v>20</v>
      </c>
      <c r="E31" s="39">
        <f t="shared" si="4"/>
        <v>1</v>
      </c>
      <c r="F31" s="39">
        <f t="shared" si="5"/>
        <v>20</v>
      </c>
      <c r="G31" s="39">
        <f t="shared" si="8"/>
        <v>1</v>
      </c>
      <c r="H31" s="109"/>
      <c r="I31" s="109"/>
      <c r="J31" s="109"/>
      <c r="K31" s="109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</row>
    <row r="32" spans="1:29" ht="13.5" customHeight="1">
      <c r="A32" s="107" t="s">
        <v>235</v>
      </c>
      <c r="B32" s="12" t="s">
        <v>236</v>
      </c>
      <c r="C32" s="28" t="s">
        <v>149</v>
      </c>
      <c r="D32" s="26">
        <f>IF(C32="无",0,IF(C32="轻微",15,IF(C32="严重",30)))</f>
        <v>15</v>
      </c>
      <c r="E32" s="39">
        <f t="shared" si="4"/>
        <v>1</v>
      </c>
      <c r="F32" s="39">
        <f t="shared" si="5"/>
        <v>15</v>
      </c>
      <c r="G32" s="39">
        <f>IF(SUM(D$32:D$35)=0,0,D32/(SUM(D$32:D$35)))</f>
        <v>1</v>
      </c>
      <c r="H32" s="166">
        <f>MAX(D32:D35)</f>
        <v>15</v>
      </c>
      <c r="I32" s="162">
        <f>SUM(F32:F35)</f>
        <v>15</v>
      </c>
      <c r="J32" s="162">
        <f>IF(I32&lt;H32,H32,IF(I32&gt;=100,"100",IF(I32&gt;=H32,I32)))</f>
        <v>15</v>
      </c>
      <c r="K32" s="162">
        <f>100-J32</f>
        <v>85</v>
      </c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</row>
    <row r="33" spans="1:24" ht="13.5" customHeight="1">
      <c r="A33" s="108"/>
      <c r="B33" s="12" t="s">
        <v>237</v>
      </c>
      <c r="C33" s="28" t="s">
        <v>30</v>
      </c>
      <c r="D33" s="26">
        <f>IF(C33="无",0,IF(C33="轻微",35,IF(C33="严重(*)",80)))</f>
        <v>0</v>
      </c>
      <c r="E33" s="39">
        <f t="shared" si="4"/>
        <v>0</v>
      </c>
      <c r="F33" s="39">
        <f t="shared" si="5"/>
        <v>0</v>
      </c>
      <c r="G33" s="39">
        <f>IF(SUM(D$32:D$35)=0,0,D33/(SUM(D$32:D$35)))</f>
        <v>0</v>
      </c>
      <c r="H33" s="108"/>
      <c r="I33" s="108"/>
      <c r="J33" s="108"/>
      <c r="K33" s="108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</row>
    <row r="34" spans="1:24" ht="13.5" customHeight="1">
      <c r="A34" s="108"/>
      <c r="B34" s="12" t="s">
        <v>238</v>
      </c>
      <c r="C34" s="28" t="s">
        <v>59</v>
      </c>
      <c r="D34" s="26">
        <f>IF(C34="完好",0,IF(C34="直径减小",30,IF(C34="锈蚀",40)))</f>
        <v>0</v>
      </c>
      <c r="E34" s="39">
        <f t="shared" si="4"/>
        <v>0</v>
      </c>
      <c r="F34" s="39">
        <f t="shared" si="5"/>
        <v>0</v>
      </c>
      <c r="G34" s="39">
        <f>IF(SUM(D$32:D$35)=0,0,D34/(SUM(D$32:D$35)))</f>
        <v>0</v>
      </c>
      <c r="H34" s="108"/>
      <c r="I34" s="108"/>
      <c r="J34" s="108"/>
      <c r="K34" s="108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</row>
    <row r="35" spans="1:24" ht="13.5" customHeight="1">
      <c r="A35" s="109"/>
      <c r="B35" s="12" t="s">
        <v>239</v>
      </c>
      <c r="C35" s="28" t="s">
        <v>30</v>
      </c>
      <c r="D35" s="26">
        <f>IF(C35="无",0,IF(C35="倾斜",30,IF(C35="坍塌变形(*)",80)))</f>
        <v>0</v>
      </c>
      <c r="E35" s="39">
        <f t="shared" si="4"/>
        <v>0</v>
      </c>
      <c r="F35" s="39">
        <f t="shared" si="5"/>
        <v>0</v>
      </c>
      <c r="G35" s="39">
        <f>IF(SUM(D$32:D$35)=0,0,D35/(SUM(D$32:D$35)))</f>
        <v>0</v>
      </c>
      <c r="H35" s="109"/>
      <c r="I35" s="109"/>
      <c r="J35" s="109"/>
      <c r="K35" s="109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</row>
    <row r="36" spans="1:24" ht="13.5" customHeight="1">
      <c r="A36" s="107" t="s">
        <v>240</v>
      </c>
      <c r="B36" s="12" t="s">
        <v>241</v>
      </c>
      <c r="C36" s="28" t="s">
        <v>30</v>
      </c>
      <c r="D36" s="26">
        <f>IF(C36="无",0,IF(C36="轻微",10,IF(C36="严重",20)))</f>
        <v>0</v>
      </c>
      <c r="E36" s="39">
        <f t="shared" si="4"/>
        <v>0</v>
      </c>
      <c r="F36" s="39">
        <f t="shared" si="5"/>
        <v>0</v>
      </c>
      <c r="G36" s="39">
        <f>IF(SUM(D$36:D$39)=0,0,D36/(SUM(D$36:D$39)))</f>
        <v>0</v>
      </c>
      <c r="H36" s="166">
        <f>MAX(D36:D39)</f>
        <v>0</v>
      </c>
      <c r="I36" s="162">
        <f>SUM(F36:F39)</f>
        <v>0</v>
      </c>
      <c r="J36" s="162">
        <f>IF(I36&lt;H36,H36,IF(I36&gt;=100,"100",IF(I36&gt;=H36,I36)))</f>
        <v>0</v>
      </c>
      <c r="K36" s="162">
        <f>100-J36</f>
        <v>100</v>
      </c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</row>
    <row r="37" spans="1:24" ht="13.5" customHeight="1">
      <c r="A37" s="108"/>
      <c r="B37" s="46" t="s">
        <v>242</v>
      </c>
      <c r="C37" s="28" t="s">
        <v>59</v>
      </c>
      <c r="D37" s="26">
        <f>IF(C37="完好",0,IF(C37="开裂",15,IF(C37="脱开",25)))</f>
        <v>0</v>
      </c>
      <c r="E37" s="39">
        <f t="shared" si="4"/>
        <v>0</v>
      </c>
      <c r="F37" s="39">
        <f t="shared" si="5"/>
        <v>0</v>
      </c>
      <c r="G37" s="39">
        <f>IF(SUM(D$36:D$39)=0,0,D37/(SUM(D$36:D$39)))</f>
        <v>0</v>
      </c>
      <c r="H37" s="108"/>
      <c r="I37" s="108"/>
      <c r="J37" s="108"/>
      <c r="K37" s="108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 ht="13.5" customHeight="1">
      <c r="A38" s="108"/>
      <c r="B38" s="12" t="s">
        <v>243</v>
      </c>
      <c r="C38" s="28" t="s">
        <v>59</v>
      </c>
      <c r="D38" s="26">
        <f>IF(C38="完好",0,IF(C38="失去部分",25,IF(C38="完全散失",35)))</f>
        <v>0</v>
      </c>
      <c r="E38" s="39">
        <f t="shared" si="4"/>
        <v>0</v>
      </c>
      <c r="F38" s="39">
        <f t="shared" si="5"/>
        <v>0</v>
      </c>
      <c r="G38" s="39">
        <f>IF(SUM(D$36:D$39)=0,0,D38/(SUM(D$36:D$39)))</f>
        <v>0</v>
      </c>
      <c r="H38" s="108"/>
      <c r="I38" s="108"/>
      <c r="J38" s="108"/>
      <c r="K38" s="108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 ht="13.5" customHeight="1">
      <c r="A39" s="109"/>
      <c r="B39" s="47" t="s">
        <v>244</v>
      </c>
      <c r="C39" s="28" t="s">
        <v>30</v>
      </c>
      <c r="D39" s="26">
        <f>IF(C39="无",0,IF(C39="少量",15,IF(C39="大量",35)))</f>
        <v>0</v>
      </c>
      <c r="E39" s="39">
        <f t="shared" si="4"/>
        <v>0</v>
      </c>
      <c r="F39" s="39">
        <f t="shared" si="5"/>
        <v>0</v>
      </c>
      <c r="G39" s="39">
        <f>IF(SUM(D$36:D$39)=0,0,D39/(SUM(D$36:D$39)))</f>
        <v>0</v>
      </c>
      <c r="H39" s="109"/>
      <c r="I39" s="109"/>
      <c r="J39" s="109"/>
      <c r="K39" s="109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</row>
    <row r="40" spans="1:24" ht="13.5" customHeight="1">
      <c r="A40" s="107" t="s">
        <v>245</v>
      </c>
      <c r="B40" s="41" t="s">
        <v>246</v>
      </c>
      <c r="C40" s="45" t="s">
        <v>30</v>
      </c>
      <c r="D40" s="44">
        <f>IF(C40="无",0,IF(C40="轻微",35,IF(C40="严重",65)))</f>
        <v>0</v>
      </c>
      <c r="E40" s="39">
        <f t="shared" si="4"/>
        <v>0</v>
      </c>
      <c r="F40" s="39">
        <f t="shared" si="5"/>
        <v>0</v>
      </c>
      <c r="G40" s="39">
        <f>IF(SUM(D$40:D$42)=0,0,D40/(SUM(D$40:D$42)))</f>
        <v>0</v>
      </c>
      <c r="H40" s="110">
        <f>MAX(D40:D42)</f>
        <v>0</v>
      </c>
      <c r="I40" s="110">
        <f>SUM(F40:F42)</f>
        <v>0</v>
      </c>
      <c r="J40" s="107">
        <f>IF(I40&lt;H40,H40,IF(I40&gt;=100,"100",IF(I40&gt;=H40,I40)))</f>
        <v>0</v>
      </c>
      <c r="K40" s="111">
        <f>100-J40</f>
        <v>100</v>
      </c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</row>
    <row r="41" spans="1:24" ht="13.5" customHeight="1">
      <c r="A41" s="108"/>
      <c r="B41" s="41" t="s">
        <v>247</v>
      </c>
      <c r="C41" s="45" t="s">
        <v>30</v>
      </c>
      <c r="D41" s="44">
        <f>IF(C41="无",0,IF(C41="轻微",20,IF(C41="严重",50)))</f>
        <v>0</v>
      </c>
      <c r="E41" s="39">
        <f t="shared" si="4"/>
        <v>0</v>
      </c>
      <c r="F41" s="39">
        <f t="shared" si="5"/>
        <v>0</v>
      </c>
      <c r="G41" s="39">
        <f>IF(SUM(D$40:D$42)=0,0,D41/(SUM(D$40:D$42)))</f>
        <v>0</v>
      </c>
      <c r="H41" s="108"/>
      <c r="I41" s="108"/>
      <c r="J41" s="108"/>
      <c r="K41" s="108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</row>
    <row r="42" spans="1:24" ht="13.5" customHeight="1">
      <c r="A42" s="109"/>
      <c r="B42" s="12" t="s">
        <v>248</v>
      </c>
      <c r="C42" s="28" t="s">
        <v>30</v>
      </c>
      <c r="D42" s="44">
        <f>IF(C42="无",0,IF(C42="个别处",30,IF(C42="多处",60)))</f>
        <v>0</v>
      </c>
      <c r="E42" s="39">
        <f t="shared" si="4"/>
        <v>0</v>
      </c>
      <c r="F42" s="39">
        <f t="shared" si="5"/>
        <v>0</v>
      </c>
      <c r="G42" s="39">
        <f>IF(SUM(D$40:D$42)=0,0,D42/(SUM(D$40:D$42)))</f>
        <v>0</v>
      </c>
      <c r="H42" s="109"/>
      <c r="I42" s="109"/>
      <c r="J42" s="109"/>
      <c r="K42" s="109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</row>
    <row r="43" spans="1:24" s="10" customFormat="1" ht="13.5" customHeight="1"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</row>
    <row r="44" spans="1:24" s="10" customFormat="1" ht="13.5" customHeight="1"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</row>
    <row r="45" spans="1:24" s="10" customFormat="1" ht="13.5" customHeight="1"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</row>
    <row r="46" spans="1:24" s="10" customFormat="1" ht="13.5" customHeight="1"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</row>
    <row r="47" spans="1:24" s="10" customFormat="1" ht="13.5" customHeight="1"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</row>
    <row r="48" spans="1:24" s="10" customFormat="1" ht="13.5" customHeight="1"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</row>
    <row r="49" spans="12:24" s="10" customFormat="1" ht="13.5" customHeight="1"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</row>
    <row r="50" spans="12:24" s="10" customFormat="1" ht="13.5" customHeight="1"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</row>
    <row r="51" spans="12:24" s="10" customFormat="1" ht="13.5" customHeight="1"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</row>
    <row r="52" spans="12:24" s="10" customFormat="1" ht="13.5" customHeight="1"/>
    <row r="53" spans="12:24" s="10" customFormat="1" ht="13.5" customHeight="1"/>
    <row r="54" spans="12:24" s="10" customFormat="1" ht="13.5" customHeight="1"/>
    <row r="55" spans="12:24" s="10" customFormat="1" ht="13.5" customHeight="1"/>
    <row r="56" spans="12:24" s="10" customFormat="1" ht="13.5" customHeight="1"/>
    <row r="57" spans="12:24" s="10" customFormat="1" ht="13.5" customHeight="1"/>
    <row r="58" spans="12:24" s="10" customFormat="1" ht="13.5" customHeight="1"/>
    <row r="59" spans="12:24" s="10" customFormat="1" ht="13.5" customHeight="1"/>
    <row r="60" spans="12:24" s="10" customFormat="1" ht="13.5" customHeight="1"/>
    <row r="61" spans="12:24" s="10" customFormat="1" ht="13.5" customHeight="1"/>
    <row r="62" spans="12:24" s="10" customFormat="1" ht="13.5" customHeight="1"/>
    <row r="63" spans="12:24" s="10" customFormat="1" ht="13.5" customHeight="1"/>
    <row r="64" spans="12:24" s="10" customFormat="1"/>
    <row r="65" s="10" customFormat="1"/>
    <row r="66" s="10" customFormat="1"/>
    <row r="67" s="10" customFormat="1"/>
    <row r="68" s="10" customFormat="1"/>
    <row r="69" s="10" customFormat="1"/>
    <row r="70" s="10" customFormat="1"/>
    <row r="71" s="10" customFormat="1"/>
    <row r="72" s="10" customFormat="1"/>
    <row r="73" s="10" customFormat="1"/>
    <row r="74" s="10" customFormat="1"/>
    <row r="75" s="10" customFormat="1"/>
    <row r="76" s="10" customFormat="1"/>
    <row r="77" s="10" customFormat="1"/>
    <row r="78" s="10" customFormat="1"/>
    <row r="79" s="10" customFormat="1"/>
    <row r="80" s="10" customFormat="1"/>
    <row r="81" s="10" customFormat="1"/>
    <row r="82" s="10" customFormat="1"/>
    <row r="83" s="10" customFormat="1"/>
    <row r="84" s="10" customFormat="1"/>
    <row r="85" s="10" customFormat="1"/>
    <row r="86" s="10" customFormat="1"/>
    <row r="87" s="10" customFormat="1"/>
    <row r="88" s="10" customFormat="1"/>
    <row r="89" s="10" customFormat="1"/>
    <row r="90" s="10" customFormat="1"/>
    <row r="91" s="10" customFormat="1"/>
    <row r="92" s="10" customFormat="1"/>
    <row r="93" s="10" customFormat="1"/>
    <row r="94" s="10" customFormat="1"/>
    <row r="95" s="10" customFormat="1"/>
    <row r="96" s="10" customFormat="1"/>
    <row r="97" s="10" customFormat="1"/>
    <row r="98" s="10" customFormat="1"/>
    <row r="99" s="10" customFormat="1"/>
    <row r="100" s="10" customFormat="1"/>
    <row r="101" s="10" customFormat="1"/>
    <row r="102" s="10" customFormat="1"/>
    <row r="103" s="10" customFormat="1"/>
    <row r="104" s="10" customFormat="1"/>
    <row r="105" s="10" customFormat="1"/>
    <row r="106" s="10" customFormat="1"/>
    <row r="107" s="10" customFormat="1"/>
    <row r="108" s="10" customFormat="1"/>
    <row r="109" s="10" customFormat="1"/>
    <row r="110" s="10" customFormat="1"/>
    <row r="111" s="10" customFormat="1"/>
    <row r="112" s="10" customFormat="1"/>
    <row r="113" s="10" customFormat="1"/>
    <row r="114" s="10" customFormat="1"/>
    <row r="115" s="10" customFormat="1"/>
    <row r="116" s="10" customFormat="1"/>
    <row r="117" s="10" customFormat="1"/>
    <row r="118" s="10" customFormat="1"/>
    <row r="119" s="10" customFormat="1"/>
    <row r="120" s="10" customFormat="1"/>
    <row r="121" s="10" customFormat="1"/>
    <row r="122" s="10" customFormat="1"/>
    <row r="123" s="10" customFormat="1"/>
    <row r="124" s="10" customFormat="1"/>
    <row r="125" s="10" customFormat="1"/>
    <row r="126" s="10" customFormat="1"/>
    <row r="127" s="10" customFormat="1"/>
    <row r="128" s="10" customFormat="1"/>
    <row r="129" s="10" customFormat="1"/>
    <row r="130" s="10" customFormat="1"/>
    <row r="131" s="10" customFormat="1"/>
    <row r="132" s="10" customFormat="1"/>
    <row r="133" s="10" customFormat="1"/>
    <row r="134" s="10" customFormat="1"/>
    <row r="135" s="10" customFormat="1"/>
    <row r="136" s="10" customFormat="1"/>
    <row r="137" s="10" customFormat="1"/>
    <row r="138" s="10" customFormat="1"/>
    <row r="139" s="10" customFormat="1"/>
    <row r="140" s="10" customFormat="1"/>
    <row r="141" s="10" customFormat="1"/>
    <row r="142" s="10" customFormat="1"/>
    <row r="143" s="10" customFormat="1"/>
    <row r="144" s="10" customFormat="1"/>
    <row r="145" s="10" customFormat="1"/>
    <row r="146" s="10" customFormat="1"/>
    <row r="147" s="10" customFormat="1"/>
    <row r="148" s="10" customFormat="1"/>
    <row r="149" s="10" customFormat="1"/>
    <row r="150" s="10" customFormat="1"/>
    <row r="151" s="10" customFormat="1"/>
    <row r="152" s="10" customFormat="1"/>
    <row r="153" s="10" customFormat="1"/>
    <row r="154" s="10" customFormat="1"/>
    <row r="155" s="10" customFormat="1"/>
    <row r="156" s="10" customFormat="1"/>
    <row r="157" s="10" customFormat="1"/>
    <row r="158" s="10" customFormat="1"/>
    <row r="159" s="10" customFormat="1"/>
    <row r="160" s="10" customFormat="1"/>
    <row r="161" s="10" customFormat="1"/>
    <row r="162" s="10" customFormat="1"/>
    <row r="163" s="10" customFormat="1"/>
    <row r="164" s="10" customFormat="1"/>
    <row r="165" s="10" customFormat="1"/>
    <row r="166" s="10" customFormat="1"/>
    <row r="167" s="10" customFormat="1"/>
    <row r="168" s="10" customFormat="1"/>
    <row r="169" s="10" customFormat="1"/>
    <row r="170" s="10" customFormat="1"/>
    <row r="171" s="10" customFormat="1"/>
    <row r="172" s="10" customFormat="1"/>
    <row r="173" s="10" customFormat="1"/>
    <row r="174" s="10" customFormat="1"/>
    <row r="175" s="10" customFormat="1"/>
    <row r="176" s="10" customFormat="1"/>
    <row r="177" s="10" customFormat="1"/>
    <row r="178" s="10" customFormat="1"/>
    <row r="179" s="10" customFormat="1"/>
    <row r="180" s="10" customFormat="1"/>
    <row r="181" s="10" customFormat="1"/>
    <row r="182" s="10" customFormat="1"/>
    <row r="183" s="10" customFormat="1"/>
    <row r="184" s="10" customFormat="1"/>
    <row r="185" s="10" customFormat="1"/>
    <row r="186" s="10" customFormat="1"/>
    <row r="187" s="10" customFormat="1"/>
    <row r="188" s="10" customFormat="1"/>
    <row r="189" s="10" customFormat="1"/>
    <row r="190" s="10" customFormat="1"/>
    <row r="191" s="10" customFormat="1"/>
    <row r="192" s="10" customFormat="1"/>
    <row r="193" s="10" customFormat="1"/>
    <row r="194" s="10" customFormat="1"/>
    <row r="195" s="10" customFormat="1"/>
    <row r="196" s="10" customFormat="1"/>
    <row r="197" s="10" customFormat="1"/>
    <row r="198" s="10" customFormat="1"/>
    <row r="199" s="10" customFormat="1"/>
    <row r="200" s="10" customFormat="1"/>
    <row r="201" s="10" customFormat="1"/>
    <row r="202" s="10" customFormat="1"/>
    <row r="203" s="10" customFormat="1"/>
    <row r="204" s="10" customFormat="1"/>
    <row r="205" s="10" customFormat="1"/>
    <row r="206" s="10" customFormat="1"/>
    <row r="207" s="10" customFormat="1"/>
    <row r="208" s="10" customFormat="1"/>
    <row r="209" s="10" customFormat="1"/>
    <row r="210" s="10" customFormat="1"/>
    <row r="211" s="10" customFormat="1"/>
    <row r="212" s="10" customFormat="1"/>
    <row r="213" s="10" customFormat="1"/>
    <row r="214" s="10" customFormat="1"/>
    <row r="215" s="10" customFormat="1"/>
    <row r="216" s="10" customFormat="1"/>
    <row r="217" s="10" customFormat="1"/>
    <row r="218" s="10" customFormat="1"/>
    <row r="219" s="10" customFormat="1"/>
    <row r="220" s="10" customFormat="1"/>
    <row r="221" s="10" customFormat="1"/>
    <row r="222" s="10" customFormat="1"/>
    <row r="223" s="10" customFormat="1"/>
    <row r="224" s="10" customFormat="1"/>
    <row r="225" s="10" customFormat="1"/>
    <row r="226" s="10" customFormat="1"/>
    <row r="227" s="10" customFormat="1"/>
    <row r="228" s="10" customFormat="1"/>
    <row r="229" s="10" customFormat="1"/>
    <row r="230" s="10" customFormat="1"/>
    <row r="231" s="10" customFormat="1"/>
    <row r="232" s="10" customFormat="1"/>
    <row r="233" s="10" customFormat="1"/>
    <row r="234" s="10" customFormat="1"/>
    <row r="235" s="10" customFormat="1"/>
    <row r="236" s="10" customFormat="1"/>
    <row r="237" s="10" customFormat="1"/>
    <row r="238" s="10" customFormat="1"/>
    <row r="239" s="10" customFormat="1"/>
    <row r="240" s="10" customFormat="1"/>
    <row r="241" s="10" customFormat="1"/>
    <row r="242" s="10" customFormat="1"/>
    <row r="243" s="10" customFormat="1"/>
    <row r="244" s="10" customFormat="1"/>
    <row r="245" s="10" customFormat="1"/>
    <row r="246" s="10" customFormat="1"/>
    <row r="247" s="10" customFormat="1"/>
    <row r="248" s="10" customFormat="1"/>
    <row r="249" s="10" customFormat="1"/>
    <row r="250" s="10" customFormat="1"/>
    <row r="251" s="10" customFormat="1"/>
    <row r="252" s="10" customFormat="1"/>
    <row r="253" s="10" customFormat="1"/>
    <row r="254" s="10" customFormat="1"/>
    <row r="255" s="10" customFormat="1"/>
    <row r="256" s="10" customFormat="1"/>
    <row r="257" s="10" customFormat="1"/>
    <row r="258" s="10" customFormat="1"/>
    <row r="259" s="10" customFormat="1"/>
    <row r="260" s="10" customFormat="1"/>
    <row r="261" s="10" customFormat="1"/>
    <row r="262" s="10" customFormat="1"/>
    <row r="263" s="10" customFormat="1"/>
    <row r="264" s="10" customFormat="1"/>
    <row r="265" s="10" customFormat="1"/>
    <row r="266" s="10" customFormat="1"/>
    <row r="267" s="10" customFormat="1"/>
    <row r="268" s="10" customFormat="1"/>
    <row r="269" s="10" customFormat="1"/>
    <row r="270" s="10" customFormat="1"/>
    <row r="271" s="10" customFormat="1"/>
    <row r="272" s="10" customFormat="1"/>
    <row r="273" s="10" customFormat="1"/>
    <row r="274" s="10" customFormat="1"/>
    <row r="275" s="10" customFormat="1"/>
    <row r="276" s="10" customFormat="1"/>
    <row r="277" s="10" customFormat="1"/>
    <row r="278" s="10" customFormat="1"/>
    <row r="279" s="10" customFormat="1"/>
    <row r="280" s="10" customFormat="1"/>
    <row r="281" s="10" customFormat="1"/>
    <row r="282" s="10" customFormat="1"/>
    <row r="283" s="10" customFormat="1"/>
    <row r="284" s="10" customFormat="1"/>
    <row r="285" s="10" customFormat="1"/>
    <row r="286" s="10" customFormat="1"/>
    <row r="287" s="10" customFormat="1"/>
    <row r="288" s="10" customFormat="1"/>
    <row r="289" s="10" customFormat="1"/>
    <row r="290" s="10" customFormat="1"/>
    <row r="291" s="10" customFormat="1"/>
    <row r="292" s="10" customFormat="1"/>
    <row r="293" s="10" customFormat="1"/>
    <row r="294" s="10" customFormat="1"/>
    <row r="295" s="10" customFormat="1"/>
    <row r="296" s="10" customFormat="1"/>
    <row r="297" s="10" customFormat="1"/>
    <row r="298" s="10" customFormat="1"/>
    <row r="299" s="10" customFormat="1"/>
    <row r="300" s="10" customFormat="1"/>
    <row r="301" s="10" customFormat="1"/>
    <row r="302" s="10" customFormat="1"/>
    <row r="303" s="10" customFormat="1"/>
    <row r="304" s="10" customFormat="1"/>
    <row r="305" s="10" customFormat="1"/>
    <row r="306" s="10" customFormat="1"/>
    <row r="307" s="10" customFormat="1"/>
    <row r="308" s="10" customFormat="1"/>
    <row r="309" s="10" customFormat="1"/>
    <row r="310" s="10" customFormat="1"/>
    <row r="311" s="10" customFormat="1"/>
    <row r="312" s="10" customFormat="1"/>
    <row r="313" s="10" customFormat="1"/>
    <row r="314" s="10" customFormat="1"/>
    <row r="315" s="10" customFormat="1"/>
    <row r="316" s="10" customFormat="1"/>
    <row r="317" s="10" customFormat="1"/>
    <row r="318" s="10" customFormat="1"/>
    <row r="319" s="10" customFormat="1"/>
    <row r="320" s="10" customFormat="1"/>
    <row r="321" s="10" customFormat="1"/>
    <row r="322" s="10" customFormat="1"/>
    <row r="323" s="10" customFormat="1"/>
    <row r="324" s="10" customFormat="1"/>
    <row r="325" s="10" customFormat="1"/>
    <row r="326" s="10" customFormat="1"/>
    <row r="327" s="10" customFormat="1"/>
    <row r="328" s="10" customFormat="1"/>
    <row r="329" s="10" customFormat="1"/>
    <row r="330" s="10" customFormat="1"/>
    <row r="331" s="10" customFormat="1"/>
    <row r="332" s="10" customFormat="1"/>
    <row r="333" s="10" customFormat="1"/>
    <row r="334" s="10" customFormat="1"/>
    <row r="335" s="10" customFormat="1"/>
    <row r="336" s="10" customFormat="1"/>
    <row r="337" s="10" customFormat="1"/>
    <row r="338" s="10" customFormat="1"/>
    <row r="339" s="10" customFormat="1"/>
    <row r="340" s="10" customFormat="1"/>
    <row r="341" s="10" customFormat="1"/>
    <row r="342" s="10" customFormat="1"/>
    <row r="343" s="10" customFormat="1"/>
    <row r="344" s="10" customFormat="1"/>
    <row r="345" s="10" customFormat="1"/>
    <row r="346" s="10" customFormat="1"/>
    <row r="347" s="10" customFormat="1"/>
    <row r="348" s="10" customFormat="1"/>
    <row r="349" s="10" customFormat="1"/>
    <row r="350" s="10" customFormat="1"/>
    <row r="351" s="10" customFormat="1"/>
    <row r="352" s="10" customFormat="1"/>
    <row r="353" s="10" customFormat="1"/>
    <row r="354" s="10" customFormat="1"/>
  </sheetData>
  <sheetProtection password="CACC" sheet="1" objects="1" scenarios="1"/>
  <mergeCells count="41">
    <mergeCell ref="B8:C8"/>
    <mergeCell ref="K19:K25"/>
    <mergeCell ref="A40:A42"/>
    <mergeCell ref="A32:A35"/>
    <mergeCell ref="H32:H35"/>
    <mergeCell ref="J32:J35"/>
    <mergeCell ref="A26:A31"/>
    <mergeCell ref="C11:D11"/>
    <mergeCell ref="A19:A25"/>
    <mergeCell ref="J26:J31"/>
    <mergeCell ref="H13:H18"/>
    <mergeCell ref="H40:H42"/>
    <mergeCell ref="J40:J42"/>
    <mergeCell ref="A13:A18"/>
    <mergeCell ref="K40:K42"/>
    <mergeCell ref="I13:I18"/>
    <mergeCell ref="I40:I42"/>
    <mergeCell ref="I26:I31"/>
    <mergeCell ref="J36:J39"/>
    <mergeCell ref="K26:K31"/>
    <mergeCell ref="H36:H39"/>
    <mergeCell ref="AG1:AN1"/>
    <mergeCell ref="H19:H25"/>
    <mergeCell ref="E8:L8"/>
    <mergeCell ref="J13:J18"/>
    <mergeCell ref="I32:I35"/>
    <mergeCell ref="K32:K35"/>
    <mergeCell ref="I19:I25"/>
    <mergeCell ref="M7:N9"/>
    <mergeCell ref="O7:V12"/>
    <mergeCell ref="AE1:AF1"/>
    <mergeCell ref="M11:N12"/>
    <mergeCell ref="K13:K18"/>
    <mergeCell ref="J19:J25"/>
    <mergeCell ref="A36:A39"/>
    <mergeCell ref="F11:G11"/>
    <mergeCell ref="I36:I39"/>
    <mergeCell ref="K36:K39"/>
    <mergeCell ref="L13:R16"/>
    <mergeCell ref="H26:H31"/>
    <mergeCell ref="I11:J11"/>
  </mergeCells>
  <phoneticPr fontId="46" type="noConversion"/>
  <dataValidations count="18">
    <dataValidation type="list" showInputMessage="1" showErrorMessage="1" sqref="C13" xr:uid="{00000000-0002-0000-0300-000000000000}">
      <formula1>"无,&lt;3%,3%~10%,&gt;10%"</formula1>
    </dataValidation>
    <dataValidation type="list" showInputMessage="1" showErrorMessage="1" sqref="C16" xr:uid="{00000000-0002-0000-0300-000001000000}">
      <formula1>"无,明显,严重"</formula1>
    </dataValidation>
    <dataValidation type="list" showInputMessage="1" showErrorMessage="1" sqref="C17 C32 C36 C40:C41" xr:uid="{00000000-0002-0000-0300-000002000000}">
      <formula1>"无,轻微,严重"</formula1>
    </dataValidation>
    <dataValidation type="list" showInputMessage="1" showErrorMessage="1" sqref="C14:C15 C18 C22:C23" xr:uid="{00000000-0002-0000-0300-000003000000}">
      <formula1>"无,&lt;1%,1%~2%,&gt;2%"</formula1>
    </dataValidation>
    <dataValidation type="list" showInputMessage="1" showErrorMessage="1" sqref="C21" xr:uid="{00000000-0002-0000-0300-000004000000}">
      <formula1>"完好,微裂,贯通"</formula1>
    </dataValidation>
    <dataValidation type="list" showInputMessage="1" showErrorMessage="1" sqref="C24 C33" xr:uid="{00000000-0002-0000-0300-000005000000}">
      <formula1>"无,轻微,严重(*)"</formula1>
    </dataValidation>
    <dataValidation type="list" showInputMessage="1" showErrorMessage="1" sqref="C19:C20 C25" xr:uid="{00000000-0002-0000-0300-000006000000}">
      <formula1>"无,非贯通,贯通"</formula1>
    </dataValidation>
    <dataValidation type="list" showInputMessage="1" showErrorMessage="1" sqref="C26 C28" xr:uid="{00000000-0002-0000-0300-000007000000}">
      <formula1>"完好,松动,锈蚀"</formula1>
    </dataValidation>
    <dataValidation type="list" showInputMessage="1" showErrorMessage="1" sqref="C27" xr:uid="{00000000-0002-0000-0300-000008000000}">
      <formula1>"完好,变形,开裂"</formula1>
    </dataValidation>
    <dataValidation type="list" showInputMessage="1" showErrorMessage="1" sqref="C29" xr:uid="{00000000-0002-0000-0300-000009000000}">
      <formula1>"完好,锈蚀,碎裂"</formula1>
    </dataValidation>
    <dataValidation type="list" showInputMessage="1" showErrorMessage="1" sqref="C30" xr:uid="{00000000-0002-0000-0300-00000A000000}">
      <formula1>"稳定,不稳,落梁危险(*)"</formula1>
    </dataValidation>
    <dataValidation type="list" showInputMessage="1" showErrorMessage="1" sqref="C31" xr:uid="{00000000-0002-0000-0300-00000B000000}">
      <formula1>"完好,轻微,严重"</formula1>
    </dataValidation>
    <dataValidation type="list" showInputMessage="1" showErrorMessage="1" sqref="C34" xr:uid="{00000000-0002-0000-0300-00000C000000}">
      <formula1>"完好,直径减小,锈蚀"</formula1>
    </dataValidation>
    <dataValidation type="list" showInputMessage="1" showErrorMessage="1" sqref="C35" xr:uid="{00000000-0002-0000-0300-00000D000000}">
      <formula1>"无,倾斜,坍塌变形(*)"</formula1>
    </dataValidation>
    <dataValidation type="list" showInputMessage="1" showErrorMessage="1" sqref="C37" xr:uid="{00000000-0002-0000-0300-00000E000000}">
      <formula1>"完好,开裂,脱开"</formula1>
    </dataValidation>
    <dataValidation type="list" showInputMessage="1" showErrorMessage="1" sqref="C38" xr:uid="{00000000-0002-0000-0300-00000F000000}">
      <formula1>"完好,失去部分,完全散失"</formula1>
    </dataValidation>
    <dataValidation type="list" showInputMessage="1" showErrorMessage="1" sqref="C39" xr:uid="{00000000-0002-0000-0300-000010000000}">
      <formula1>"无,少量,大量"</formula1>
    </dataValidation>
    <dataValidation type="list" showInputMessage="1" showErrorMessage="1" sqref="C42" xr:uid="{00000000-0002-0000-0300-000011000000}">
      <formula1>"无,个别处,多处"</formula1>
    </dataValidation>
  </dataValidations>
  <pageMargins left="0.69930555555555596" right="0.69930555555555596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M397"/>
  <sheetViews>
    <sheetView workbookViewId="0">
      <pane ySplit="14" topLeftCell="A15" activePane="bottomLeft" state="frozen"/>
      <selection pane="bottomLeft" activeCell="F6" sqref="F6"/>
    </sheetView>
  </sheetViews>
  <sheetFormatPr defaultColWidth="9" defaultRowHeight="18.75" customHeight="1"/>
  <cols>
    <col min="1" max="1" width="6" style="2" customWidth="1"/>
    <col min="2" max="2" width="11.90625" style="2" customWidth="1"/>
    <col min="3" max="4" width="9.08984375" style="2" customWidth="1"/>
    <col min="5" max="5" width="12.453125" style="2" customWidth="1"/>
    <col min="6" max="6" width="9" style="2" customWidth="1"/>
    <col min="7" max="7" width="2.90625" style="2" customWidth="1"/>
    <col min="8" max="10" width="9" style="2" customWidth="1"/>
    <col min="11" max="11" width="9" style="2" hidden="1" customWidth="1"/>
    <col min="12" max="12" width="9" style="2" customWidth="1"/>
    <col min="13" max="15" width="9" style="2" hidden="1" customWidth="1"/>
    <col min="16" max="16" width="9" style="1" customWidth="1"/>
    <col min="17" max="17" width="18.6328125" style="1" customWidth="1"/>
    <col min="18" max="65" width="9" style="1" customWidth="1"/>
    <col min="66" max="67" width="9" style="2" customWidth="1"/>
    <col min="68" max="16384" width="9" style="2"/>
  </cols>
  <sheetData>
    <row r="1" spans="1:15" ht="27.75" customHeight="1">
      <c r="A1" s="194" t="s">
        <v>249</v>
      </c>
      <c r="B1" s="125"/>
      <c r="C1" s="125"/>
      <c r="D1" s="125"/>
      <c r="E1" s="125"/>
      <c r="F1" s="125"/>
    </row>
    <row r="2" spans="1:15" ht="14" customHeight="1">
      <c r="A2" s="186" t="s">
        <v>250</v>
      </c>
      <c r="B2" s="114"/>
      <c r="C2" s="114"/>
      <c r="D2" s="115"/>
      <c r="E2" s="188">
        <f>SUM(O5:O13)</f>
        <v>83.71</v>
      </c>
      <c r="F2" s="115"/>
    </row>
    <row r="3" spans="1:15" ht="14" customHeight="1">
      <c r="A3" s="186" t="s">
        <v>251</v>
      </c>
      <c r="B3" s="114"/>
      <c r="C3" s="114"/>
      <c r="D3" s="115"/>
      <c r="E3" s="186" t="str">
        <f>IF(E2&lt;50,"E级",IF(E2&lt;66,"D级",IF(E2&lt;80,"C级",IF(E2&lt;90,"B级",IF(E2&lt;=100,"A级")))))</f>
        <v>B级</v>
      </c>
      <c r="F3" s="115"/>
      <c r="H3" s="187" t="s">
        <v>252</v>
      </c>
      <c r="I3" s="187" t="s">
        <v>253</v>
      </c>
      <c r="J3" s="187" t="s">
        <v>254</v>
      </c>
      <c r="K3" s="187" t="s">
        <v>208</v>
      </c>
      <c r="L3" s="187" t="s">
        <v>255</v>
      </c>
      <c r="M3" s="192" t="s">
        <v>73</v>
      </c>
      <c r="N3" s="187" t="s">
        <v>256</v>
      </c>
      <c r="O3" s="187" t="s">
        <v>257</v>
      </c>
    </row>
    <row r="4" spans="1:15" ht="14" customHeight="1">
      <c r="A4" s="3" t="s">
        <v>2</v>
      </c>
      <c r="B4" s="3" t="s">
        <v>258</v>
      </c>
      <c r="C4" s="3" t="s">
        <v>257</v>
      </c>
      <c r="D4" s="3" t="s">
        <v>259</v>
      </c>
      <c r="E4" s="3" t="s">
        <v>118</v>
      </c>
      <c r="F4" s="5" t="s">
        <v>260</v>
      </c>
      <c r="H4" s="109"/>
      <c r="I4" s="109"/>
      <c r="J4" s="109"/>
      <c r="K4" s="109"/>
      <c r="L4" s="109"/>
      <c r="M4" s="109"/>
      <c r="N4" s="109"/>
      <c r="O4" s="109"/>
    </row>
    <row r="5" spans="1:15" ht="14" customHeight="1">
      <c r="A5" s="3">
        <v>1</v>
      </c>
      <c r="B5" s="186" t="s">
        <v>261</v>
      </c>
      <c r="C5" s="188">
        <f>SUM(N5:N6)</f>
        <v>89.199999999999989</v>
      </c>
      <c r="D5" s="186" t="str">
        <f>IF(C5&lt;50,"E级",IF(C5&lt;66,"D级",IF(C5&lt;80,"C级",IF(C5&lt;90,"B级",IF(C5&lt;=100,"A级")))))</f>
        <v>B级</v>
      </c>
      <c r="E5" s="3" t="s">
        <v>262</v>
      </c>
      <c r="F5" s="6">
        <v>92</v>
      </c>
      <c r="H5" s="189">
        <v>0.5</v>
      </c>
      <c r="I5" s="7">
        <v>0.6</v>
      </c>
      <c r="J5" s="8">
        <v>0.6</v>
      </c>
      <c r="K5" s="9">
        <f>J5/(J$5+J$6)</f>
        <v>0.6</v>
      </c>
      <c r="L5" s="190">
        <v>0.5</v>
      </c>
      <c r="M5" s="189">
        <f>L5/(L$5+L$7+L$9+L$10+L$11)</f>
        <v>0.5</v>
      </c>
      <c r="N5" s="3">
        <f t="shared" ref="N5:N13" si="0">K5*F5</f>
        <v>55.199999999999996</v>
      </c>
      <c r="O5" s="186">
        <f>C5*M5</f>
        <v>44.599999999999994</v>
      </c>
    </row>
    <row r="6" spans="1:15" ht="14" customHeight="1">
      <c r="A6" s="3">
        <v>2</v>
      </c>
      <c r="B6" s="109"/>
      <c r="C6" s="109"/>
      <c r="D6" s="109"/>
      <c r="E6" s="3" t="s">
        <v>263</v>
      </c>
      <c r="F6" s="6">
        <v>85</v>
      </c>
      <c r="H6" s="109"/>
      <c r="I6" s="7">
        <v>0.4</v>
      </c>
      <c r="J6" s="8">
        <v>0.4</v>
      </c>
      <c r="K6" s="9">
        <f>J6/(J$5+J$6)</f>
        <v>0.4</v>
      </c>
      <c r="L6" s="191"/>
      <c r="M6" s="109"/>
      <c r="N6" s="3">
        <f t="shared" si="0"/>
        <v>34</v>
      </c>
      <c r="O6" s="109"/>
    </row>
    <row r="7" spans="1:15" ht="14" customHeight="1">
      <c r="A7" s="3">
        <v>3</v>
      </c>
      <c r="B7" s="186" t="s">
        <v>264</v>
      </c>
      <c r="C7" s="188">
        <f>SUM(N7:N8)</f>
        <v>71.5</v>
      </c>
      <c r="D7" s="186" t="str">
        <f>IF(C7&lt;50,"E级",IF(C7&lt;66,"D级",IF(C7&lt;80,"C级",IF(C7&lt;90,"B级",IF(C7&lt;=100,"A级")))))</f>
        <v>C级</v>
      </c>
      <c r="E7" s="5" t="s">
        <v>265</v>
      </c>
      <c r="F7" s="6">
        <v>68</v>
      </c>
      <c r="H7" s="189">
        <v>0.2</v>
      </c>
      <c r="I7" s="7">
        <v>0.5</v>
      </c>
      <c r="J7" s="8">
        <v>0.5</v>
      </c>
      <c r="K7" s="9">
        <f>J7/(J$5+J$6)</f>
        <v>0.5</v>
      </c>
      <c r="L7" s="190">
        <v>0.2</v>
      </c>
      <c r="M7" s="189">
        <f>L7/(L$5+L$7+L$9+L$10+L$11)</f>
        <v>0.20000000000000004</v>
      </c>
      <c r="N7" s="3">
        <f t="shared" si="0"/>
        <v>34</v>
      </c>
      <c r="O7" s="186">
        <f>C7*M7</f>
        <v>14.300000000000002</v>
      </c>
    </row>
    <row r="8" spans="1:15" ht="14" customHeight="1">
      <c r="A8" s="3">
        <v>4</v>
      </c>
      <c r="B8" s="109"/>
      <c r="C8" s="109"/>
      <c r="D8" s="109"/>
      <c r="E8" s="3" t="s">
        <v>11</v>
      </c>
      <c r="F8" s="6">
        <v>75</v>
      </c>
      <c r="H8" s="109"/>
      <c r="I8" s="7">
        <v>0.5</v>
      </c>
      <c r="J8" s="8">
        <v>0.5</v>
      </c>
      <c r="K8" s="9">
        <f>J8/(J$5+J$6)</f>
        <v>0.5</v>
      </c>
      <c r="L8" s="191"/>
      <c r="M8" s="109"/>
      <c r="N8" s="3">
        <f t="shared" si="0"/>
        <v>37.5</v>
      </c>
      <c r="O8" s="109"/>
    </row>
    <row r="9" spans="1:15" ht="14" customHeight="1">
      <c r="A9" s="3">
        <v>5</v>
      </c>
      <c r="B9" s="3" t="s">
        <v>266</v>
      </c>
      <c r="C9" s="4">
        <f>N9</f>
        <v>81</v>
      </c>
      <c r="D9" s="3" t="str">
        <f>IF(C9&lt;50,"E级",IF(C9&lt;66,"D级",IF(C9&lt;80,"C级",IF(C9&lt;90,"B级",IF(C9&lt;=100,"A级")))))</f>
        <v>B级</v>
      </c>
      <c r="E9" s="5" t="s">
        <v>267</v>
      </c>
      <c r="F9" s="6">
        <v>81</v>
      </c>
      <c r="H9" s="7">
        <v>0.1</v>
      </c>
      <c r="I9" s="7">
        <v>1</v>
      </c>
      <c r="J9" s="8">
        <v>1</v>
      </c>
      <c r="K9" s="9">
        <v>1</v>
      </c>
      <c r="L9" s="8">
        <v>0.1</v>
      </c>
      <c r="M9" s="7">
        <f>L9/(L$5+L$7+L$9+L$10+L$11)</f>
        <v>0.10000000000000002</v>
      </c>
      <c r="N9" s="3">
        <f t="shared" si="0"/>
        <v>81</v>
      </c>
      <c r="O9" s="3">
        <f>M9*C9</f>
        <v>8.1000000000000014</v>
      </c>
    </row>
    <row r="10" spans="1:15" ht="14" customHeight="1">
      <c r="A10" s="3">
        <v>6</v>
      </c>
      <c r="B10" s="3" t="s">
        <v>268</v>
      </c>
      <c r="C10" s="4">
        <f>N10</f>
        <v>76</v>
      </c>
      <c r="D10" s="3" t="str">
        <f>IF(C10&lt;50,"E级",IF(C10&lt;66,"D级",IF(C10&lt;80,"C级",IF(C10&lt;90,"B级",IF(C10&lt;100,"A级")))))</f>
        <v>C级</v>
      </c>
      <c r="E10" s="3" t="s">
        <v>268</v>
      </c>
      <c r="F10" s="6">
        <v>76</v>
      </c>
      <c r="H10" s="7">
        <v>0.1</v>
      </c>
      <c r="I10" s="7">
        <v>1</v>
      </c>
      <c r="J10" s="8">
        <v>1</v>
      </c>
      <c r="K10" s="9">
        <v>1</v>
      </c>
      <c r="L10" s="8">
        <v>0.1</v>
      </c>
      <c r="M10" s="7">
        <f>L10/(L$5+L$7+L$9+L$10+L$11)</f>
        <v>0.10000000000000002</v>
      </c>
      <c r="N10" s="3">
        <f t="shared" si="0"/>
        <v>76</v>
      </c>
      <c r="O10" s="3">
        <f>M10*C10</f>
        <v>7.6000000000000014</v>
      </c>
    </row>
    <row r="11" spans="1:15" ht="14" customHeight="1">
      <c r="A11" s="3">
        <v>7</v>
      </c>
      <c r="B11" s="186" t="s">
        <v>269</v>
      </c>
      <c r="C11" s="188">
        <f>SUM(N11:N13)</f>
        <v>91.1</v>
      </c>
      <c r="D11" s="186" t="str">
        <f>IF(C11&lt;50,"E级",IF(C11&lt;66,"D级",IF(C11&lt;80,"C级",IF(C11&lt;90,"B级",IF(C11&lt;=100,"A级")))))</f>
        <v>A级</v>
      </c>
      <c r="E11" s="3" t="s">
        <v>270</v>
      </c>
      <c r="F11" s="6">
        <v>89</v>
      </c>
      <c r="H11" s="189">
        <v>0.1</v>
      </c>
      <c r="I11" s="7">
        <v>0.4</v>
      </c>
      <c r="J11" s="8">
        <v>0.4</v>
      </c>
      <c r="K11" s="9">
        <f>J11/(J$11+J$12+J$13)</f>
        <v>0.4</v>
      </c>
      <c r="L11" s="190">
        <v>0.1</v>
      </c>
      <c r="M11" s="189">
        <f>L11/(L$5+L$7+L$9+L$10+L$11)</f>
        <v>0.10000000000000002</v>
      </c>
      <c r="N11" s="3">
        <f t="shared" si="0"/>
        <v>35.6</v>
      </c>
      <c r="O11" s="186">
        <f>M11*C11</f>
        <v>9.1100000000000012</v>
      </c>
    </row>
    <row r="12" spans="1:15" ht="14" customHeight="1">
      <c r="A12" s="3">
        <v>8</v>
      </c>
      <c r="B12" s="108"/>
      <c r="C12" s="108"/>
      <c r="D12" s="108"/>
      <c r="E12" s="3" t="s">
        <v>271</v>
      </c>
      <c r="F12" s="6">
        <v>90</v>
      </c>
      <c r="H12" s="108"/>
      <c r="I12" s="7">
        <v>0.3</v>
      </c>
      <c r="J12" s="8">
        <v>0.3</v>
      </c>
      <c r="K12" s="9">
        <f>J12/(J$11+J$12+J$13)</f>
        <v>0.3</v>
      </c>
      <c r="L12" s="193"/>
      <c r="M12" s="108"/>
      <c r="N12" s="3">
        <f t="shared" si="0"/>
        <v>27</v>
      </c>
      <c r="O12" s="108"/>
    </row>
    <row r="13" spans="1:15" ht="14" customHeight="1">
      <c r="A13" s="3">
        <v>9</v>
      </c>
      <c r="B13" s="109"/>
      <c r="C13" s="109"/>
      <c r="D13" s="109"/>
      <c r="E13" s="5" t="s">
        <v>272</v>
      </c>
      <c r="F13" s="6">
        <v>95</v>
      </c>
      <c r="H13" s="109"/>
      <c r="I13" s="7">
        <v>0.3</v>
      </c>
      <c r="J13" s="8">
        <v>0.3</v>
      </c>
      <c r="K13" s="9">
        <f>J13/(J$11+J$12+J$13)</f>
        <v>0.3</v>
      </c>
      <c r="L13" s="191"/>
      <c r="M13" s="109"/>
      <c r="N13" s="3">
        <f t="shared" si="0"/>
        <v>28.5</v>
      </c>
      <c r="O13" s="109"/>
    </row>
    <row r="14" spans="1:15" ht="33.75" customHeight="1">
      <c r="A14" s="127" t="s">
        <v>110</v>
      </c>
      <c r="B14" s="114"/>
      <c r="C14" s="114"/>
      <c r="D14" s="114"/>
      <c r="E14" s="114"/>
      <c r="F14" s="115"/>
    </row>
    <row r="15" spans="1:15" s="1" customFormat="1" ht="14" customHeight="1"/>
    <row r="16" spans="1:15" s="1" customFormat="1" ht="14" customHeight="1"/>
    <row r="17" s="1" customFormat="1" ht="14" customHeight="1"/>
    <row r="18" s="1" customFormat="1" ht="14" customHeight="1"/>
    <row r="19" s="1" customFormat="1" ht="14" customHeight="1"/>
    <row r="20" s="1" customFormat="1" ht="14" customHeight="1"/>
    <row r="21" s="1" customFormat="1" ht="14" customHeight="1"/>
    <row r="22" s="1" customFormat="1" ht="14" customHeight="1"/>
    <row r="23" s="1" customFormat="1" ht="14" customHeight="1"/>
    <row r="24" s="1" customFormat="1" ht="14" customHeight="1"/>
    <row r="25" s="1" customFormat="1" ht="14" customHeight="1"/>
    <row r="26" s="1" customFormat="1" ht="14" customHeight="1"/>
    <row r="27" s="1" customFormat="1" ht="14" customHeight="1"/>
    <row r="28" s="1" customFormat="1" ht="14" customHeight="1"/>
    <row r="29" s="1" customFormat="1" ht="14" customHeight="1"/>
    <row r="30" s="1" customFormat="1" ht="14" customHeight="1"/>
    <row r="31" s="1" customFormat="1" ht="14" customHeight="1"/>
    <row r="32" s="1" customFormat="1" ht="14" customHeight="1"/>
    <row r="33" s="1" customFormat="1" ht="14" customHeight="1"/>
    <row r="34" s="1" customFormat="1" ht="14" customHeight="1"/>
    <row r="35" s="1" customFormat="1" ht="14" customHeight="1"/>
    <row r="36" s="1" customFormat="1" ht="14" customHeight="1"/>
    <row r="37" s="1" customFormat="1" ht="14" customHeight="1"/>
    <row r="38" s="1" customFormat="1" ht="14" customHeight="1"/>
    <row r="39" s="1" customFormat="1" ht="14" customHeight="1"/>
    <row r="40" s="1" customFormat="1" ht="14" customHeight="1"/>
    <row r="41" s="1" customFormat="1" ht="14" customHeight="1"/>
    <row r="42" s="1" customFormat="1" ht="14" customHeight="1"/>
    <row r="43" s="1" customFormat="1" ht="14" customHeight="1"/>
    <row r="44" s="1" customFormat="1" ht="14" customHeight="1"/>
    <row r="45" s="1" customFormat="1" ht="14" customHeight="1"/>
    <row r="46" s="1" customFormat="1" ht="14" customHeight="1"/>
    <row r="47" s="1" customFormat="1" ht="14" customHeight="1"/>
    <row r="48" s="1" customFormat="1" ht="14" customHeight="1"/>
    <row r="49" s="1" customFormat="1" ht="14" customHeight="1"/>
    <row r="50" s="1" customFormat="1" ht="14" customHeight="1"/>
    <row r="51" s="1" customFormat="1" ht="14" customHeight="1"/>
    <row r="52" s="1" customFormat="1" ht="14" customHeight="1"/>
    <row r="53" s="1" customFormat="1" ht="14" customHeight="1"/>
    <row r="54" s="1" customFormat="1" ht="14" customHeight="1"/>
    <row r="55" s="1" customFormat="1" ht="14" customHeight="1"/>
    <row r="56" s="1" customFormat="1" ht="14" customHeight="1"/>
    <row r="57" s="1" customFormat="1" ht="14" customHeight="1"/>
    <row r="58" s="1" customFormat="1" ht="14" customHeight="1"/>
    <row r="59" s="1" customFormat="1" ht="14" customHeight="1"/>
    <row r="60" s="1" customFormat="1" ht="14" customHeight="1"/>
    <row r="61" s="1" customFormat="1" ht="14" customHeight="1"/>
    <row r="62" s="1" customFormat="1" ht="14" customHeight="1"/>
    <row r="63" s="1" customFormat="1" ht="14" customHeight="1"/>
    <row r="64" s="1" customFormat="1" ht="14" customHeight="1"/>
    <row r="65" s="1" customFormat="1" ht="14" customHeight="1"/>
    <row r="66" s="1" customFormat="1" ht="14" customHeight="1"/>
    <row r="67" s="1" customFormat="1" ht="14" customHeight="1"/>
    <row r="68" s="1" customFormat="1" ht="14" customHeight="1"/>
    <row r="69" s="1" customFormat="1" ht="14" customHeight="1"/>
    <row r="70" s="1" customFormat="1" ht="14" customHeight="1"/>
    <row r="71" s="1" customFormat="1" ht="14" customHeight="1"/>
    <row r="72" s="1" customFormat="1" ht="14" customHeight="1"/>
    <row r="73" s="1" customFormat="1" ht="14" customHeight="1"/>
    <row r="74" s="1" customFormat="1" ht="14" customHeight="1"/>
    <row r="75" s="1" customFormat="1" ht="14" customHeight="1"/>
    <row r="76" s="1" customFormat="1" ht="14" customHeight="1"/>
    <row r="77" s="1" customFormat="1" ht="14" customHeight="1"/>
    <row r="78" s="1" customFormat="1" ht="14" customHeight="1"/>
    <row r="79" s="1" customFormat="1" ht="14" customHeight="1"/>
    <row r="80" s="1" customFormat="1" ht="14" customHeight="1"/>
    <row r="81" s="1" customFormat="1" ht="14" customHeight="1"/>
    <row r="82" s="1" customFormat="1" ht="14" customHeight="1"/>
    <row r="83" s="1" customFormat="1" ht="14" customHeight="1"/>
    <row r="84" s="1" customFormat="1" ht="14" customHeight="1"/>
    <row r="85" s="1" customFormat="1" ht="14" customHeight="1"/>
    <row r="86" s="1" customFormat="1" ht="14" customHeight="1"/>
    <row r="87" s="1" customFormat="1" ht="14" customHeight="1"/>
    <row r="88" s="1" customFormat="1" ht="14" customHeight="1"/>
    <row r="89" s="1" customFormat="1" ht="14" customHeight="1"/>
    <row r="90" s="1" customFormat="1" ht="14" customHeight="1"/>
    <row r="91" s="1" customFormat="1" ht="14" customHeight="1"/>
    <row r="92" s="1" customFormat="1" ht="14" customHeight="1"/>
    <row r="93" s="1" customFormat="1" ht="14" customHeight="1"/>
    <row r="94" s="1" customFormat="1" ht="14" customHeight="1"/>
    <row r="95" s="1" customFormat="1" ht="14" customHeight="1"/>
    <row r="96" s="1" customFormat="1" ht="14" customHeight="1"/>
    <row r="97" s="1" customFormat="1" ht="14" customHeight="1"/>
    <row r="98" s="1" customFormat="1" ht="14" customHeight="1"/>
    <row r="99" s="1" customFormat="1" ht="14" customHeight="1"/>
    <row r="100" s="1" customFormat="1" ht="14" customHeight="1"/>
    <row r="101" s="1" customFormat="1" ht="14" customHeight="1"/>
    <row r="102" s="1" customFormat="1" ht="14" customHeight="1"/>
    <row r="103" s="1" customFormat="1" ht="14" customHeight="1"/>
    <row r="104" s="1" customFormat="1" ht="14" customHeight="1"/>
    <row r="105" s="1" customFormat="1" ht="14" customHeight="1"/>
    <row r="106" s="1" customFormat="1" ht="14" customHeight="1"/>
    <row r="107" s="1" customFormat="1" ht="14" customHeight="1"/>
    <row r="108" s="1" customFormat="1" ht="14" customHeight="1"/>
    <row r="109" s="1" customFormat="1" ht="14" customHeight="1"/>
    <row r="110" s="1" customFormat="1" ht="14" customHeight="1"/>
    <row r="111" s="1" customFormat="1" ht="14" customHeight="1"/>
    <row r="112" s="1" customFormat="1" ht="14" customHeight="1"/>
    <row r="113" s="1" customFormat="1" ht="14" customHeight="1"/>
    <row r="114" s="1" customFormat="1" ht="14" customHeight="1"/>
    <row r="115" s="1" customFormat="1" ht="14" customHeight="1"/>
    <row r="116" s="1" customFormat="1" ht="14" customHeight="1"/>
    <row r="117" s="1" customFormat="1" ht="14" customHeight="1"/>
    <row r="118" s="1" customFormat="1" ht="14" customHeight="1"/>
    <row r="119" s="1" customFormat="1" ht="14" customHeight="1"/>
    <row r="120" s="1" customFormat="1" ht="14" customHeight="1"/>
    <row r="121" s="1" customFormat="1" ht="14" customHeight="1"/>
    <row r="122" s="1" customFormat="1" ht="14" customHeight="1"/>
    <row r="123" s="1" customFormat="1" ht="14" customHeight="1"/>
    <row r="124" s="1" customFormat="1" ht="14" customHeight="1"/>
    <row r="125" s="1" customFormat="1" ht="14" customHeight="1"/>
    <row r="126" s="1" customFormat="1" ht="14" customHeight="1"/>
    <row r="127" s="1" customFormat="1" ht="14" customHeight="1"/>
    <row r="128" s="1" customFormat="1" ht="14" customHeight="1"/>
    <row r="129" s="1" customFormat="1" ht="14" customHeight="1"/>
    <row r="130" s="1" customFormat="1" ht="14" customHeight="1"/>
    <row r="131" s="1" customFormat="1" ht="14" customHeight="1"/>
    <row r="132" s="1" customFormat="1" ht="14" customHeight="1"/>
    <row r="133" s="1" customFormat="1" ht="14" customHeight="1"/>
    <row r="134" s="1" customFormat="1" ht="14" customHeight="1"/>
    <row r="135" s="1" customFormat="1" ht="14" customHeight="1"/>
    <row r="136" s="1" customFormat="1" ht="14" customHeight="1"/>
    <row r="137" s="1" customFormat="1" ht="14" customHeight="1"/>
    <row r="138" s="1" customFormat="1" ht="14" customHeight="1"/>
    <row r="139" s="1" customFormat="1" ht="14" customHeight="1"/>
    <row r="140" s="1" customFormat="1" ht="14" customHeight="1"/>
    <row r="141" s="1" customFormat="1" ht="14" customHeight="1"/>
    <row r="142" s="1" customFormat="1" ht="14" customHeight="1"/>
    <row r="143" s="1" customFormat="1" ht="14" customHeight="1"/>
    <row r="144" s="1" customFormat="1" ht="14" customHeight="1"/>
    <row r="145" s="1" customFormat="1" ht="14" customHeight="1"/>
    <row r="146" s="1" customFormat="1" ht="14" customHeight="1"/>
    <row r="147" s="1" customFormat="1" ht="14" customHeight="1"/>
    <row r="148" s="1" customFormat="1" ht="14" customHeight="1"/>
    <row r="149" s="1" customFormat="1" ht="14" customHeight="1"/>
    <row r="150" s="1" customFormat="1" ht="14" customHeight="1"/>
    <row r="151" s="1" customFormat="1" ht="14" customHeight="1"/>
    <row r="152" s="1" customFormat="1" ht="14" customHeight="1"/>
    <row r="153" s="1" customFormat="1" ht="14" customHeight="1"/>
    <row r="154" s="1" customFormat="1" ht="14" customHeight="1"/>
    <row r="155" s="1" customFormat="1" ht="14" customHeight="1"/>
    <row r="156" s="1" customFormat="1" ht="14" customHeight="1"/>
    <row r="157" s="1" customFormat="1" ht="14" customHeight="1"/>
    <row r="158" s="1" customFormat="1" ht="14" customHeight="1"/>
    <row r="159" s="1" customFormat="1" ht="14" customHeight="1"/>
    <row r="160" s="1" customFormat="1" ht="14" customHeight="1"/>
    <row r="161" s="1" customFormat="1" ht="14" customHeight="1"/>
    <row r="162" s="1" customFormat="1" ht="14" customHeight="1"/>
    <row r="163" s="1" customFormat="1" ht="14" customHeight="1"/>
    <row r="164" s="1" customFormat="1" ht="14" customHeight="1"/>
    <row r="165" s="1" customFormat="1" ht="14" customHeight="1"/>
    <row r="166" s="1" customFormat="1" ht="14" customHeight="1"/>
    <row r="167" s="1" customFormat="1" ht="14" customHeight="1"/>
    <row r="168" s="1" customFormat="1" ht="14" customHeight="1"/>
    <row r="169" s="1" customFormat="1" ht="14" customHeight="1"/>
    <row r="170" s="1" customFormat="1" ht="14" customHeight="1"/>
    <row r="171" s="1" customFormat="1" ht="14" customHeight="1"/>
    <row r="172" s="1" customFormat="1" ht="14" customHeight="1"/>
    <row r="173" s="1" customFormat="1" ht="14" customHeight="1"/>
    <row r="174" s="1" customFormat="1" ht="14" customHeight="1"/>
    <row r="175" s="1" customFormat="1" ht="14" customHeight="1"/>
    <row r="176" s="1" customFormat="1" ht="14" customHeight="1"/>
    <row r="177" s="1" customFormat="1" ht="14" customHeight="1"/>
    <row r="178" s="1" customFormat="1" ht="14" customHeight="1"/>
    <row r="179" s="1" customFormat="1" ht="14" customHeight="1"/>
    <row r="180" s="1" customFormat="1" ht="14" customHeight="1"/>
    <row r="181" s="1" customFormat="1" ht="14" customHeight="1"/>
    <row r="182" s="1" customFormat="1" ht="14" customHeight="1"/>
    <row r="183" s="1" customFormat="1" ht="14" customHeight="1"/>
    <row r="184" s="1" customFormat="1" ht="14" customHeight="1"/>
    <row r="185" s="1" customFormat="1" ht="14" customHeight="1"/>
    <row r="186" s="1" customFormat="1" ht="14" customHeight="1"/>
    <row r="187" s="1" customFormat="1" ht="14" customHeight="1"/>
    <row r="188" s="1" customFormat="1" ht="14" customHeight="1"/>
    <row r="189" s="1" customFormat="1" ht="14" customHeight="1"/>
    <row r="190" s="1" customFormat="1" ht="14" customHeight="1"/>
    <row r="191" s="1" customFormat="1" ht="14" customHeight="1"/>
    <row r="192" s="1" customFormat="1" ht="14" customHeight="1"/>
    <row r="193" s="1" customFormat="1" ht="14" customHeight="1"/>
    <row r="194" s="1" customFormat="1" ht="14" customHeight="1"/>
    <row r="195" s="1" customFormat="1" ht="14" customHeight="1"/>
    <row r="196" s="1" customFormat="1" ht="14" customHeight="1"/>
    <row r="197" s="1" customFormat="1" ht="14" customHeight="1"/>
    <row r="198" s="1" customFormat="1" ht="14" customHeight="1"/>
    <row r="199" s="1" customFormat="1" ht="14" customHeight="1"/>
    <row r="200" s="1" customFormat="1" ht="14" customHeight="1"/>
    <row r="201" s="1" customFormat="1" ht="14" customHeight="1"/>
    <row r="202" s="1" customFormat="1" ht="14" customHeight="1"/>
    <row r="203" s="1" customFormat="1" ht="14" customHeight="1"/>
    <row r="204" s="1" customFormat="1" ht="14" customHeight="1"/>
    <row r="205" s="1" customFormat="1" ht="14" customHeight="1"/>
    <row r="206" s="1" customFormat="1" ht="14" customHeight="1"/>
    <row r="207" s="1" customFormat="1" ht="14" customHeight="1"/>
    <row r="208" s="1" customFormat="1" ht="14" customHeight="1"/>
    <row r="209" s="1" customFormat="1" ht="14" customHeight="1"/>
    <row r="210" s="1" customFormat="1" ht="14" customHeight="1"/>
    <row r="211" s="1" customFormat="1" ht="14" customHeight="1"/>
    <row r="212" s="1" customFormat="1" ht="14" customHeight="1"/>
    <row r="213" s="1" customFormat="1" ht="14" customHeight="1"/>
    <row r="214" s="1" customFormat="1" ht="14" customHeight="1"/>
    <row r="215" s="1" customFormat="1" ht="14" customHeight="1"/>
    <row r="216" s="1" customFormat="1" ht="14" customHeight="1"/>
    <row r="217" s="1" customFormat="1" ht="14" customHeight="1"/>
    <row r="218" s="1" customFormat="1" ht="14" customHeight="1"/>
    <row r="219" s="1" customFormat="1" ht="14" customHeight="1"/>
    <row r="220" s="1" customFormat="1" ht="14" customHeight="1"/>
    <row r="221" s="1" customFormat="1" ht="14" customHeight="1"/>
    <row r="222" s="1" customFormat="1" ht="14" customHeight="1"/>
    <row r="223" s="1" customFormat="1" ht="14" customHeight="1"/>
    <row r="224" s="1" customFormat="1" ht="14" customHeight="1"/>
    <row r="225" s="1" customFormat="1" ht="14" customHeight="1"/>
    <row r="226" s="1" customFormat="1" ht="14" customHeight="1"/>
    <row r="227" s="1" customFormat="1" ht="14" customHeight="1"/>
    <row r="228" s="1" customFormat="1" ht="14" customHeight="1"/>
    <row r="229" s="1" customFormat="1" ht="14" customHeight="1"/>
    <row r="230" s="1" customFormat="1" ht="14" customHeight="1"/>
    <row r="231" s="1" customFormat="1" ht="14" customHeight="1"/>
    <row r="232" s="1" customFormat="1" ht="14" customHeight="1"/>
    <row r="233" s="1" customFormat="1" ht="14" customHeight="1"/>
    <row r="234" s="1" customFormat="1" ht="14" customHeight="1"/>
    <row r="235" s="1" customFormat="1" ht="14" customHeight="1"/>
    <row r="236" s="1" customFormat="1" ht="14" customHeight="1"/>
    <row r="237" s="1" customFormat="1" ht="14" customHeight="1"/>
    <row r="238" s="1" customFormat="1" ht="14" customHeight="1"/>
    <row r="239" s="1" customFormat="1" ht="14" customHeight="1"/>
    <row r="240" s="1" customFormat="1" ht="14" customHeight="1"/>
    <row r="241" s="1" customFormat="1" ht="14" customHeight="1"/>
    <row r="242" s="1" customFormat="1" ht="14" customHeight="1"/>
    <row r="243" s="1" customFormat="1" ht="14" customHeight="1"/>
    <row r="244" s="1" customFormat="1" ht="14" customHeight="1"/>
    <row r="245" s="1" customFormat="1" ht="14" customHeight="1"/>
    <row r="246" s="1" customFormat="1" ht="14" customHeight="1"/>
    <row r="247" s="1" customFormat="1" ht="14" customHeight="1"/>
    <row r="248" s="1" customFormat="1" ht="14" customHeight="1"/>
    <row r="249" s="1" customFormat="1" ht="14" customHeight="1"/>
    <row r="250" s="1" customFormat="1" ht="14" customHeight="1"/>
    <row r="251" s="1" customFormat="1" ht="14" customHeight="1"/>
    <row r="252" s="1" customFormat="1" ht="14" customHeight="1"/>
    <row r="253" s="1" customFormat="1" ht="14" customHeight="1"/>
    <row r="254" s="1" customFormat="1" ht="14" customHeight="1"/>
    <row r="255" s="1" customFormat="1" ht="14" customHeight="1"/>
    <row r="256" s="1" customFormat="1" ht="14" customHeight="1"/>
    <row r="257" s="1" customFormat="1" ht="14" customHeight="1"/>
    <row r="258" s="1" customFormat="1" ht="14" customHeight="1"/>
    <row r="259" s="1" customFormat="1" ht="14" customHeight="1"/>
    <row r="260" s="1" customFormat="1" ht="14" customHeight="1"/>
    <row r="261" s="1" customFormat="1" ht="14" customHeight="1"/>
    <row r="262" s="1" customFormat="1" ht="14" customHeight="1"/>
    <row r="263" s="1" customFormat="1" ht="14" customHeight="1"/>
    <row r="264" s="1" customFormat="1" ht="14" customHeight="1"/>
    <row r="265" s="1" customFormat="1" ht="14" customHeight="1"/>
    <row r="266" s="1" customFormat="1" ht="14" customHeight="1"/>
    <row r="267" s="1" customFormat="1" ht="14" customHeight="1"/>
    <row r="268" s="1" customFormat="1" ht="14" customHeight="1"/>
    <row r="269" s="1" customFormat="1" ht="14" customHeight="1"/>
    <row r="270" s="1" customFormat="1" ht="14" customHeight="1"/>
    <row r="271" s="1" customFormat="1" ht="14" customHeight="1"/>
    <row r="272" s="1" customFormat="1" ht="14" customHeight="1"/>
    <row r="273" s="1" customFormat="1" ht="14" customHeight="1"/>
    <row r="274" s="1" customFormat="1" ht="14" customHeight="1"/>
    <row r="275" s="1" customFormat="1" ht="14" customHeight="1"/>
    <row r="276" s="1" customFormat="1" ht="14" customHeight="1"/>
    <row r="277" s="1" customFormat="1" ht="14" customHeight="1"/>
    <row r="278" s="1" customFormat="1" ht="14" customHeight="1"/>
    <row r="279" s="1" customFormat="1" ht="14" customHeight="1"/>
    <row r="280" s="1" customFormat="1" ht="14" customHeight="1"/>
    <row r="281" s="1" customFormat="1" ht="14" customHeight="1"/>
    <row r="282" s="1" customFormat="1" ht="14" customHeight="1"/>
    <row r="283" s="1" customFormat="1" ht="14" customHeight="1"/>
    <row r="284" s="1" customFormat="1" ht="14" customHeight="1"/>
    <row r="285" s="1" customFormat="1" ht="14" customHeight="1"/>
    <row r="286" s="1" customFormat="1" ht="14" customHeight="1"/>
    <row r="287" s="1" customFormat="1" ht="14" customHeight="1"/>
    <row r="288" s="1" customFormat="1" ht="14" customHeight="1"/>
    <row r="289" s="1" customFormat="1" ht="14" customHeight="1"/>
    <row r="290" s="1" customFormat="1" ht="14" customHeight="1"/>
    <row r="291" s="1" customFormat="1" ht="14" customHeight="1"/>
    <row r="292" s="1" customFormat="1" ht="14" customHeight="1"/>
    <row r="293" s="1" customFormat="1" ht="14" customHeight="1"/>
    <row r="294" s="1" customFormat="1" ht="14" customHeight="1"/>
    <row r="295" s="1" customFormat="1" ht="14" customHeight="1"/>
    <row r="296" s="1" customFormat="1" ht="14" customHeight="1"/>
    <row r="297" s="1" customFormat="1" ht="14" customHeight="1"/>
    <row r="298" s="1" customFormat="1" ht="14" customHeight="1"/>
    <row r="299" s="1" customFormat="1" ht="14" customHeight="1"/>
    <row r="300" s="1" customFormat="1" ht="14" customHeight="1"/>
    <row r="301" s="1" customFormat="1" ht="14" customHeight="1"/>
    <row r="302" s="1" customFormat="1" ht="14" customHeight="1"/>
    <row r="303" s="1" customFormat="1" ht="14" customHeight="1"/>
    <row r="304" s="1" customFormat="1" ht="14" customHeight="1"/>
    <row r="305" s="1" customFormat="1" ht="14" customHeight="1"/>
    <row r="306" s="1" customFormat="1" ht="14" customHeight="1"/>
    <row r="307" s="1" customFormat="1" ht="14" customHeight="1"/>
    <row r="308" s="1" customFormat="1" ht="14" customHeight="1"/>
    <row r="309" s="1" customFormat="1" ht="14" customHeight="1"/>
    <row r="310" s="1" customFormat="1" ht="14" customHeight="1"/>
    <row r="311" s="1" customFormat="1" ht="14" customHeight="1"/>
    <row r="312" s="1" customFormat="1" ht="14" customHeight="1"/>
    <row r="313" s="1" customFormat="1" ht="14" customHeight="1"/>
    <row r="314" s="1" customFormat="1" ht="14" customHeight="1"/>
    <row r="315" s="1" customFormat="1" ht="14" customHeight="1"/>
    <row r="316" s="1" customFormat="1" ht="14" customHeight="1"/>
    <row r="317" s="1" customFormat="1" ht="14" customHeight="1"/>
    <row r="318" s="1" customFormat="1" ht="14" customHeight="1"/>
    <row r="319" s="1" customFormat="1" ht="14" customHeight="1"/>
    <row r="320" s="1" customFormat="1" ht="14" customHeight="1"/>
    <row r="321" s="1" customFormat="1" ht="14" customHeight="1"/>
    <row r="322" s="1" customFormat="1" ht="14" customHeight="1"/>
    <row r="323" s="1" customFormat="1" ht="14" customHeight="1"/>
    <row r="324" s="1" customFormat="1" ht="14" customHeight="1"/>
    <row r="325" s="1" customFormat="1" ht="14" customHeight="1"/>
    <row r="326" s="1" customFormat="1" ht="14" customHeight="1"/>
    <row r="327" s="1" customFormat="1" ht="14" customHeight="1"/>
    <row r="328" s="1" customFormat="1" ht="14" customHeight="1"/>
    <row r="329" s="1" customFormat="1" ht="14" customHeight="1"/>
    <row r="330" s="1" customFormat="1" ht="14" customHeight="1"/>
    <row r="331" s="1" customFormat="1" ht="14" customHeight="1"/>
    <row r="332" s="1" customFormat="1" ht="14" customHeight="1"/>
    <row r="333" s="1" customFormat="1" ht="14" customHeight="1"/>
    <row r="334" s="1" customFormat="1" ht="14" customHeight="1"/>
    <row r="335" s="1" customFormat="1" ht="14" customHeight="1"/>
    <row r="336" s="1" customFormat="1" ht="14" customHeight="1"/>
    <row r="337" s="1" customFormat="1" ht="14" customHeight="1"/>
    <row r="338" s="1" customFormat="1" ht="14" customHeight="1"/>
    <row r="339" s="1" customFormat="1" ht="14" customHeight="1"/>
    <row r="340" s="1" customFormat="1" ht="14" customHeight="1"/>
    <row r="341" s="1" customFormat="1" ht="14" customHeight="1"/>
    <row r="342" s="1" customFormat="1" ht="14" customHeight="1"/>
    <row r="343" s="1" customFormat="1" ht="14" customHeight="1"/>
    <row r="344" s="1" customFormat="1" ht="14" customHeight="1"/>
    <row r="345" s="1" customFormat="1" ht="14" customHeight="1"/>
    <row r="346" s="1" customFormat="1" ht="14" customHeight="1"/>
    <row r="347" s="1" customFormat="1" ht="14" customHeight="1"/>
    <row r="348" s="1" customFormat="1" ht="14" customHeight="1"/>
    <row r="349" s="1" customFormat="1" ht="14" customHeight="1"/>
    <row r="350" s="1" customFormat="1" ht="14" customHeight="1"/>
    <row r="351" s="1" customFormat="1" ht="14" customHeight="1"/>
    <row r="352" s="1" customFormat="1" ht="14" customHeight="1"/>
    <row r="353" s="1" customFormat="1" ht="14" customHeight="1"/>
    <row r="354" s="1" customFormat="1" ht="14" customHeight="1"/>
    <row r="355" s="1" customFormat="1" ht="14" customHeight="1"/>
    <row r="356" s="1" customFormat="1" ht="14" customHeight="1"/>
    <row r="357" s="1" customFormat="1" ht="14" customHeight="1"/>
    <row r="358" s="1" customFormat="1" ht="14" customHeight="1"/>
    <row r="359" s="1" customFormat="1" ht="14" customHeight="1"/>
    <row r="360" s="1" customFormat="1" ht="14" customHeight="1"/>
    <row r="361" s="1" customFormat="1" ht="14" customHeight="1"/>
    <row r="362" s="1" customFormat="1" ht="14" customHeight="1"/>
    <row r="363" s="1" customFormat="1" ht="14" customHeight="1"/>
    <row r="364" s="1" customFormat="1" ht="14" customHeight="1"/>
    <row r="365" s="1" customFormat="1" ht="14" customHeight="1"/>
    <row r="366" s="1" customFormat="1" ht="14" customHeight="1"/>
    <row r="367" s="1" customFormat="1" ht="14" customHeight="1"/>
    <row r="368" s="1" customFormat="1" ht="14" customHeight="1"/>
    <row r="369" s="1" customFormat="1" ht="14" customHeight="1"/>
    <row r="370" s="1" customFormat="1" ht="14" customHeight="1"/>
    <row r="371" s="1" customFormat="1" ht="14" customHeight="1"/>
    <row r="372" s="1" customFormat="1" ht="14" customHeight="1"/>
    <row r="373" s="1" customFormat="1" ht="14" customHeight="1"/>
    <row r="374" s="1" customFormat="1" ht="14" customHeight="1"/>
    <row r="375" s="1" customFormat="1" ht="14" customHeight="1"/>
    <row r="376" s="1" customFormat="1" ht="14" customHeight="1"/>
    <row r="377" s="1" customFormat="1" ht="14" customHeight="1"/>
    <row r="378" s="1" customFormat="1" ht="14" customHeight="1"/>
    <row r="379" s="1" customFormat="1" ht="14" customHeight="1"/>
    <row r="380" s="1" customFormat="1" ht="14" customHeight="1"/>
    <row r="381" s="1" customFormat="1" ht="14" customHeight="1"/>
    <row r="382" s="1" customFormat="1" ht="14" customHeight="1"/>
    <row r="383" s="1" customFormat="1" ht="14" customHeight="1"/>
    <row r="384" s="1" customFormat="1" ht="14" customHeight="1"/>
    <row r="385" s="1" customFormat="1" ht="14" customHeight="1"/>
    <row r="386" s="1" customFormat="1" ht="14" customHeight="1"/>
    <row r="387" s="1" customFormat="1" ht="14" customHeight="1"/>
    <row r="388" s="1" customFormat="1" ht="14" customHeight="1"/>
    <row r="389" s="1" customFormat="1" ht="14" customHeight="1"/>
    <row r="390" s="1" customFormat="1" ht="14" customHeight="1"/>
    <row r="391" s="1" customFormat="1" ht="14" customHeight="1"/>
    <row r="392" s="1" customFormat="1" ht="14" customHeight="1"/>
    <row r="393" s="1" customFormat="1" ht="14" customHeight="1"/>
    <row r="394" s="1" customFormat="1" ht="14" customHeight="1"/>
    <row r="395" s="1" customFormat="1" ht="14" customHeight="1"/>
    <row r="396" s="1" customFormat="1" ht="14" customHeight="1"/>
    <row r="397" s="1" customFormat="1" ht="14" customHeight="1"/>
  </sheetData>
  <sheetProtection password="CA21" sheet="1" objects="1" scenarios="1"/>
  <mergeCells count="35">
    <mergeCell ref="A1:F1"/>
    <mergeCell ref="O3:O4"/>
    <mergeCell ref="A3:D3"/>
    <mergeCell ref="H11:H13"/>
    <mergeCell ref="D11:D13"/>
    <mergeCell ref="B7:B8"/>
    <mergeCell ref="A2:D2"/>
    <mergeCell ref="L7:L8"/>
    <mergeCell ref="E3:F3"/>
    <mergeCell ref="C5:C6"/>
    <mergeCell ref="E2:F2"/>
    <mergeCell ref="C7:C8"/>
    <mergeCell ref="H3:H4"/>
    <mergeCell ref="J3:J4"/>
    <mergeCell ref="B11:B13"/>
    <mergeCell ref="B5:B6"/>
    <mergeCell ref="D5:D6"/>
    <mergeCell ref="H5:H6"/>
    <mergeCell ref="A14:F14"/>
    <mergeCell ref="M3:M4"/>
    <mergeCell ref="D7:D8"/>
    <mergeCell ref="I3:I4"/>
    <mergeCell ref="L11:L13"/>
    <mergeCell ref="M5:M6"/>
    <mergeCell ref="H7:H8"/>
    <mergeCell ref="M11:M13"/>
    <mergeCell ref="K3:K4"/>
    <mergeCell ref="O5:O6"/>
    <mergeCell ref="L3:L4"/>
    <mergeCell ref="N3:N4"/>
    <mergeCell ref="C11:C13"/>
    <mergeCell ref="O11:O13"/>
    <mergeCell ref="M7:M8"/>
    <mergeCell ref="L5:L6"/>
    <mergeCell ref="O7:O8"/>
  </mergeCells>
  <phoneticPr fontId="46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整桥技术状况</vt:lpstr>
      <vt:lpstr>桥面系评分</vt:lpstr>
      <vt:lpstr>上部结构评分</vt:lpstr>
      <vt:lpstr>下部结构评分</vt:lpstr>
      <vt:lpstr>人行地下通道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kuan li</cp:lastModifiedBy>
  <dcterms:created xsi:type="dcterms:W3CDTF">2006-09-16T00:00:00Z</dcterms:created>
  <dcterms:modified xsi:type="dcterms:W3CDTF">2026-10-10T06:53:31Z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D60E6A373B5548368813200BA185020E_13</vt:lpwstr>
  </property>
  <property fmtid="{D5CDD505-2E9C-101B-9397-08002B2CF9AE}" pid="4" name="CalculationRule">
    <vt:i4>0</vt:i4>
  </property>
</Properties>
</file>